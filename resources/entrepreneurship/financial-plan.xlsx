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ichiafang/Downloads/"/>
    </mc:Choice>
  </mc:AlternateContent>
  <xr:revisionPtr revIDLastSave="0" documentId="13_ncr:1_{E6CC8FF0-60E2-1D47-BB59-A5BF8ACA912A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Expense Forecast" sheetId="1" r:id="rId1"/>
    <sheet name="Burn Rate Forecast" sheetId="2" r:id="rId2"/>
    <sheet name="3-Year P&amp;L" sheetId="3" r:id="rId3"/>
    <sheet name="Equity Pla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F29" i="4"/>
  <c r="H28" i="4"/>
  <c r="F28" i="4"/>
  <c r="D28" i="4"/>
  <c r="D29" i="4" s="1"/>
  <c r="B28" i="4"/>
  <c r="B29" i="4" s="1"/>
  <c r="H25" i="4"/>
  <c r="F25" i="4"/>
  <c r="D25" i="4"/>
  <c r="B25" i="4"/>
  <c r="I24" i="4"/>
  <c r="G24" i="4"/>
  <c r="E24" i="4"/>
  <c r="C24" i="4"/>
  <c r="H23" i="4"/>
  <c r="H22" i="4"/>
  <c r="F22" i="4"/>
  <c r="G22" i="4" s="1"/>
  <c r="H21" i="4"/>
  <c r="F21" i="4"/>
  <c r="D21" i="4"/>
  <c r="H20" i="4"/>
  <c r="F20" i="4"/>
  <c r="D20" i="4"/>
  <c r="H19" i="4"/>
  <c r="F19" i="4"/>
  <c r="D19" i="4"/>
  <c r="H18" i="4"/>
  <c r="H24" i="4" s="1"/>
  <c r="F18" i="4"/>
  <c r="F24" i="4" s="1"/>
  <c r="D18" i="4"/>
  <c r="D24" i="4" s="1"/>
  <c r="B18" i="4"/>
  <c r="B24" i="4" s="1"/>
  <c r="D19" i="3"/>
  <c r="C19" i="3"/>
  <c r="B19" i="3"/>
  <c r="D11" i="3"/>
  <c r="C11" i="3"/>
  <c r="B11" i="3"/>
  <c r="B10" i="3"/>
  <c r="D9" i="3"/>
  <c r="C9" i="3"/>
  <c r="B9" i="3"/>
  <c r="B12" i="3" s="1"/>
  <c r="B5" i="3"/>
  <c r="C5" i="3" s="1"/>
  <c r="R10" i="2"/>
  <c r="J10" i="2"/>
  <c r="T9" i="2"/>
  <c r="O9" i="2"/>
  <c r="N9" i="2"/>
  <c r="M9" i="2"/>
  <c r="L9" i="2"/>
  <c r="G9" i="2"/>
  <c r="F9" i="2"/>
  <c r="E9" i="2"/>
  <c r="D9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C6" i="2"/>
  <c r="D32" i="1"/>
  <c r="D28" i="1"/>
  <c r="Q10" i="2" s="1"/>
  <c r="D18" i="1"/>
  <c r="S9" i="2" s="1"/>
  <c r="D17" i="1"/>
  <c r="D11" i="1"/>
  <c r="C8" i="2" s="1"/>
  <c r="D27" i="4" l="1"/>
  <c r="E20" i="4"/>
  <c r="E22" i="4"/>
  <c r="D26" i="4"/>
  <c r="E19" i="4"/>
  <c r="E23" i="4"/>
  <c r="F26" i="4"/>
  <c r="G23" i="4"/>
  <c r="G18" i="4"/>
  <c r="F27" i="4"/>
  <c r="G21" i="4"/>
  <c r="E21" i="4"/>
  <c r="C36" i="4"/>
  <c r="H26" i="4"/>
  <c r="I23" i="4"/>
  <c r="I18" i="4"/>
  <c r="I20" i="4"/>
  <c r="I22" i="4"/>
  <c r="H27" i="4"/>
  <c r="I21" i="4"/>
  <c r="C10" i="3"/>
  <c r="C12" i="3" s="1"/>
  <c r="D5" i="3"/>
  <c r="D10" i="3" s="1"/>
  <c r="D12" i="3" s="1"/>
  <c r="G19" i="4"/>
  <c r="C34" i="4"/>
  <c r="B14" i="3"/>
  <c r="B15" i="3"/>
  <c r="B20" i="3" s="1"/>
  <c r="B21" i="3" s="1"/>
  <c r="I19" i="4"/>
  <c r="C35" i="4"/>
  <c r="S11" i="2"/>
  <c r="D11" i="2"/>
  <c r="C18" i="4"/>
  <c r="B27" i="4"/>
  <c r="C19" i="4"/>
  <c r="C20" i="4"/>
  <c r="C21" i="4"/>
  <c r="C22" i="4"/>
  <c r="B26" i="4"/>
  <c r="C23" i="4"/>
  <c r="G20" i="4"/>
  <c r="C37" i="4"/>
  <c r="H9" i="2"/>
  <c r="H11" i="2" s="1"/>
  <c r="P9" i="2"/>
  <c r="P11" i="2" s="1"/>
  <c r="F10" i="2"/>
  <c r="F11" i="2" s="1"/>
  <c r="N10" i="2"/>
  <c r="N11" i="2" s="1"/>
  <c r="E18" i="4"/>
  <c r="H29" i="4"/>
  <c r="I9" i="2"/>
  <c r="Q9" i="2"/>
  <c r="Q11" i="2" s="1"/>
  <c r="G10" i="2"/>
  <c r="G11" i="2" s="1"/>
  <c r="O10" i="2"/>
  <c r="O11" i="2" s="1"/>
  <c r="D33" i="1"/>
  <c r="C10" i="2"/>
  <c r="K10" i="2"/>
  <c r="S10" i="2"/>
  <c r="D10" i="2"/>
  <c r="L10" i="2"/>
  <c r="L11" i="2" s="1"/>
  <c r="T10" i="2"/>
  <c r="T11" i="2" s="1"/>
  <c r="E10" i="2"/>
  <c r="E11" i="2" s="1"/>
  <c r="M10" i="2"/>
  <c r="M11" i="2" s="1"/>
  <c r="J9" i="2"/>
  <c r="J11" i="2" s="1"/>
  <c r="R9" i="2"/>
  <c r="R11" i="2" s="1"/>
  <c r="H10" i="2"/>
  <c r="P10" i="2"/>
  <c r="C9" i="2"/>
  <c r="C11" i="2" s="1"/>
  <c r="K9" i="2"/>
  <c r="K11" i="2" s="1"/>
  <c r="I10" i="2"/>
  <c r="C13" i="2" l="1"/>
  <c r="C14" i="2"/>
  <c r="C12" i="2"/>
  <c r="D6" i="2"/>
  <c r="O12" i="2"/>
  <c r="L12" i="2"/>
  <c r="D14" i="3"/>
  <c r="D15" i="3" s="1"/>
  <c r="D20" i="3" s="1"/>
  <c r="D21" i="3" s="1"/>
  <c r="N12" i="2"/>
  <c r="M12" i="2"/>
  <c r="F12" i="2"/>
  <c r="E12" i="2"/>
  <c r="T12" i="2"/>
  <c r="G12" i="2"/>
  <c r="K12" i="2"/>
  <c r="H12" i="2"/>
  <c r="D12" i="2"/>
  <c r="D13" i="2"/>
  <c r="P12" i="2"/>
  <c r="S12" i="2"/>
  <c r="R12" i="2"/>
  <c r="J12" i="2"/>
  <c r="C14" i="3"/>
  <c r="C15" i="3" s="1"/>
  <c r="C20" i="3" s="1"/>
  <c r="C21" i="3" s="1"/>
  <c r="Q12" i="2"/>
  <c r="I11" i="2"/>
  <c r="D14" i="2" l="1"/>
  <c r="E6" i="2"/>
  <c r="I12" i="2"/>
  <c r="E14" i="2" l="1"/>
  <c r="F6" i="2"/>
  <c r="E13" i="2"/>
  <c r="G6" i="2" l="1"/>
  <c r="F14" i="2"/>
  <c r="F13" i="2"/>
  <c r="H6" i="2" l="1"/>
  <c r="G14" i="2"/>
  <c r="G13" i="2"/>
  <c r="H14" i="2" l="1"/>
  <c r="I6" i="2"/>
  <c r="H13" i="2"/>
  <c r="I14" i="2" l="1"/>
  <c r="J6" i="2"/>
  <c r="I13" i="2"/>
  <c r="K6" i="2" l="1"/>
  <c r="J14" i="2"/>
  <c r="J13" i="2"/>
  <c r="L6" i="2" l="1"/>
  <c r="K14" i="2"/>
  <c r="K13" i="2"/>
  <c r="L14" i="2" l="1"/>
  <c r="M6" i="2"/>
  <c r="L13" i="2"/>
  <c r="M14" i="2" l="1"/>
  <c r="N6" i="2"/>
  <c r="M13" i="2"/>
  <c r="O6" i="2" l="1"/>
  <c r="N14" i="2"/>
  <c r="N13" i="2"/>
  <c r="P6" i="2" l="1"/>
  <c r="O14" i="2"/>
  <c r="O13" i="2"/>
  <c r="P14" i="2" l="1"/>
  <c r="Q6" i="2"/>
  <c r="P13" i="2"/>
  <c r="Q14" i="2" l="1"/>
  <c r="R6" i="2"/>
  <c r="Q13" i="2"/>
  <c r="S6" i="2" l="1"/>
  <c r="R14" i="2"/>
  <c r="R13" i="2"/>
  <c r="T6" i="2" l="1"/>
  <c r="S14" i="2"/>
  <c r="S13" i="2"/>
  <c r="T14" i="2" l="1"/>
  <c r="T13" i="2"/>
</calcChain>
</file>

<file path=xl/sharedStrings.xml><?xml version="1.0" encoding="utf-8"?>
<sst xmlns="http://schemas.openxmlformats.org/spreadsheetml/2006/main" count="162" uniqueCount="147">
  <si>
    <t>AeroSense Bio Expense Forecast (Biomedical R&amp;D Startup / Year 1, Annual Basis)  Unit: NT$ (New Taiwan Dollar)</t>
  </si>
  <si>
    <t>Item No.</t>
  </si>
  <si>
    <t>Account Category</t>
  </si>
  <si>
    <t>Line Item</t>
  </si>
  <si>
    <t>NT$ (Annual)</t>
  </si>
  <si>
    <t>Notes</t>
  </si>
  <si>
    <t>Share Capital</t>
  </si>
  <si>
    <t>Company Share Capital</t>
  </si>
  <si>
    <t>Founders' paid-in capital (consistent with founders' contribution in the "Equity Plan" sheet)</t>
  </si>
  <si>
    <t>Startup Costs</t>
  </si>
  <si>
    <t>Company Registration</t>
  </si>
  <si>
    <t>Accounting Agency &amp; Bookkeeping Fees</t>
  </si>
  <si>
    <t>Renovation / Fit-out Costs</t>
  </si>
  <si>
    <t>Fill in per team needs</t>
  </si>
  <si>
    <t>Rental Deposit</t>
  </si>
  <si>
    <t>Office Desks &amp; Chairs</t>
  </si>
  <si>
    <t>Computers / Lab Computer Equipment</t>
  </si>
  <si>
    <t>2 units × 25,000</t>
  </si>
  <si>
    <t>Miscellaneous</t>
  </si>
  <si>
    <t>Subtotal (Startup Costs, Items 2–8)</t>
  </si>
  <si>
    <t>Fixed Costs</t>
  </si>
  <si>
    <t>Office Rent/Year</t>
  </si>
  <si>
    <t>10,000 × 12 (may be lower if joining an incubator)</t>
  </si>
  <si>
    <t>Bookkeeper Fees/Year</t>
  </si>
  <si>
    <t>3,500 × 12</t>
  </si>
  <si>
    <t>Registered Address Fee/Year</t>
  </si>
  <si>
    <t>3,000 × 12</t>
  </si>
  <si>
    <t>Number of Employees</t>
  </si>
  <si>
    <t>Three founders (adjustable)</t>
  </si>
  <si>
    <t>Average Monthly Salary (NT$)</t>
  </si>
  <si>
    <t>Early-stage founder salary (adjustable)</t>
  </si>
  <si>
    <t>Personnel Costs/Year</t>
  </si>
  <si>
    <t>Includes labor/health insurance employer contribution (1.25×) + year-end bonus (2 months)</t>
  </si>
  <si>
    <t>Subtotal (Fixed Costs, Items 9–11, 13)</t>
  </si>
  <si>
    <t>Variable Costs</t>
  </si>
  <si>
    <t>R&amp;D Equipment</t>
  </si>
  <si>
    <t>Estimated instrument center / equipment usage fees</t>
  </si>
  <si>
    <t>Biological Reagents &amp; Cell Culture Consumables</t>
  </si>
  <si>
    <t>20,000 × 12 (cells, plasmids, GCaMP, etc.)</t>
  </si>
  <si>
    <t>Utilities (Water &amp; Electricity)</t>
  </si>
  <si>
    <t>5,000 × 12</t>
  </si>
  <si>
    <t>Travel Expenses</t>
  </si>
  <si>
    <t>Company Email Account</t>
  </si>
  <si>
    <t>IP &amp; Regulatory Consulting Fees</t>
  </si>
  <si>
    <t>Early-stage patent/regulatory costs (adjustable)</t>
  </si>
  <si>
    <t>Miscellaneous / Office Supplies</t>
  </si>
  <si>
    <t>Employee Training Costs</t>
  </si>
  <si>
    <t>Interest Expense</t>
  </si>
  <si>
    <t>Subtotal (Variable Costs, Items 14–22)</t>
  </si>
  <si>
    <t>Taxes</t>
  </si>
  <si>
    <t>Corporate Income Tax</t>
  </si>
  <si>
    <t>No profit in early stage</t>
  </si>
  <si>
    <t>Business Tax</t>
  </si>
  <si>
    <t>Undistributed Earnings Tax</t>
  </si>
  <si>
    <t>Subtotal (Taxes, Items 23–25)</t>
  </si>
  <si>
    <t>Total Annual Expenses (Excl. Share Capital)</t>
  </si>
  <si>
    <t>AeroSense Bio | 18-Month Burn Rate Forecast (NTD)</t>
  </si>
  <si>
    <t>Starting Capital (Founders' Equity + Angel Round Paid-in)</t>
  </si>
  <si>
    <t>Monthly Revenue (Year 1 Assumption)</t>
  </si>
  <si>
    <t>Month</t>
  </si>
  <si>
    <t>Initial Cash (Start of Month)</t>
  </si>
  <si>
    <t>Income/Month</t>
  </si>
  <si>
    <t>One-Time Expenses (Startup Costs)</t>
  </si>
  <si>
    <t>Fixed Costs/Month</t>
  </si>
  <si>
    <t>Variable Costs/Month</t>
  </si>
  <si>
    <t>Gross Burn (Total Expenses)</t>
  </si>
  <si>
    <t>Net Burn (Expenses − Income)</t>
  </si>
  <si>
    <t>Burn Rate (Monthly Expenses / Initial Cash)</t>
  </si>
  <si>
    <t>Runway (Months Remaining)</t>
  </si>
  <si>
    <t>AeroSense Bio | 3-Year P&amp;L Forecast (Base Case, NTD)</t>
  </si>
  <si>
    <t>Item</t>
  </si>
  <si>
    <t>Year 1</t>
  </si>
  <si>
    <t>Year 2</t>
  </si>
  <si>
    <t>Year 3</t>
  </si>
  <si>
    <t>Devices Sold This Year (Units)</t>
  </si>
  <si>
    <t>Beachhead market installs (assumption)</t>
  </si>
  <si>
    <t>Device Unit Price (NT$/Unit)</t>
  </si>
  <si>
    <t>Razor pricing; slight decline after mass production</t>
  </si>
  <si>
    <t>Cumulative Installed Units</t>
  </si>
  <si>
    <t>Determines cartridge subscription base</t>
  </si>
  <si>
    <t>Cartridge Monthly Fee (NT$/Unit·Month)</t>
  </si>
  <si>
    <t>Razor blade model; recurring revenue</t>
  </si>
  <si>
    <t>Software/Data &amp; Custom Services Revenue</t>
  </si>
  <si>
    <t>NRE/subscription (assumption)</t>
  </si>
  <si>
    <t xml:space="preserve"> </t>
  </si>
  <si>
    <t>Device Revenue</t>
  </si>
  <si>
    <t>Units sold × unit price</t>
  </si>
  <si>
    <t>Cartridge Subscription Revenue</t>
  </si>
  <si>
    <t>Cumulative installs × monthly fee × 12</t>
  </si>
  <si>
    <t>Software/Services Revenue</t>
  </si>
  <si>
    <t>Total Operating Revenue</t>
  </si>
  <si>
    <t>Gross Margin (Assumption)</t>
  </si>
  <si>
    <t>Improves with scale and receptor-library reuse</t>
  </si>
  <si>
    <t>Cost of Goods Sold</t>
  </si>
  <si>
    <t>Hardware BOM + cartridge production</t>
  </si>
  <si>
    <t>Gross Profit</t>
  </si>
  <si>
    <t>Personnel Expenses</t>
  </si>
  <si>
    <t>Team expansion (assumption)</t>
  </si>
  <si>
    <t>R&amp;D Expenses</t>
  </si>
  <si>
    <t>Receptor/hardware R&amp;D</t>
  </si>
  <si>
    <t>Operations &amp; Other Expenses</t>
  </si>
  <si>
    <t>Rent, admin, marketing, IP</t>
  </si>
  <si>
    <t>Total Operating Expenses</t>
  </si>
  <si>
    <t>Operating Profit/Loss</t>
  </si>
  <si>
    <t>Operating Margin</t>
  </si>
  <si>
    <t>AeroSense Bio Equity Plan (Centered on Three Founders)  Unit: NT$ (New Taiwan Dollar)</t>
  </si>
  <si>
    <t>STEP 1  Total Original Shareholder Shares (Three Founders)</t>
  </si>
  <si>
    <t>STEP 2  Original Shareholder Issue Price per Share</t>
  </si>
  <si>
    <t>STEP 3  Total Technology Shares</t>
  </si>
  <si>
    <t>STEP 3  Technology Share Issue Price per Share</t>
  </si>
  <si>
    <t>STEP 4  Institution's Share of Technology Equity (%)</t>
  </si>
  <si>
    <t>STEP 5  Total Angel Round Shares</t>
  </si>
  <si>
    <t>STEP 5  Angel Round Issue Price per Share</t>
  </si>
  <si>
    <t>STEP 6  Total Round 1 Shares</t>
  </si>
  <si>
    <t>STEP 6  Round 1 Issue Price per Share</t>
  </si>
  <si>
    <t>Number of Founders</t>
  </si>
  <si>
    <t>Par Value (NT$/Share)</t>
  </si>
  <si>
    <t>Inventor Team Contribution</t>
  </si>
  <si>
    <t>Technology Shares</t>
  </si>
  <si>
    <t>Angel Round</t>
  </si>
  <si>
    <t>Round 1</t>
  </si>
  <si>
    <t>Shares</t>
  </si>
  <si>
    <t>% Ownership</t>
  </si>
  <si>
    <t>Original Shareholders (Founders)</t>
  </si>
  <si>
    <t xml:space="preserve">   Institution's Technology Shares</t>
  </si>
  <si>
    <t xml:space="preserve">   Inventor Team's Technology Shares</t>
  </si>
  <si>
    <t>Total Shares</t>
  </si>
  <si>
    <t>Issue Price/Share</t>
  </si>
  <si>
    <t>Share Capital (Par Value × Total Shares)</t>
  </si>
  <si>
    <t>Total Valuation (Total Shares × Round Price)</t>
  </si>
  <si>
    <t>Paid-in / Valuation Amount per Round</t>
  </si>
  <si>
    <t>Cumulative Paid-in Amount</t>
  </si>
  <si>
    <t>Three Founders' Shareholding (Post-Round-1 Dilution)</t>
  </si>
  <si>
    <t>Founder</t>
  </si>
  <si>
    <t>Shares Held</t>
  </si>
  <si>
    <t>% Ownership After Round 1</t>
  </si>
  <si>
    <t>Founder 1</t>
  </si>
  <si>
    <t>Original shareholder shares + inventor team technology shares, split evenly (adjustable)</t>
  </si>
  <si>
    <t>Founder 2</t>
  </si>
  <si>
    <t>Founder 3</t>
  </si>
  <si>
    <t>Founders' Total</t>
  </si>
  <si>
    <t>Founding team's combined ownership percentage after Round 1</t>
  </si>
  <si>
    <r>
      <rPr>
        <i/>
        <sz val="8"/>
        <color rgb="FF808080"/>
        <rFont val="Noto Sans CJK SC"/>
        <family val="2"/>
        <charset val="1"/>
      </rPr>
      <t>※</t>
    </r>
    <r>
      <rPr>
        <i/>
        <sz val="8"/>
        <color rgb="FF808080"/>
        <rFont val="Times New Roman"/>
        <family val="1"/>
      </rPr>
      <t xml:space="preserve"> Blue text = assumptions you may edit; black text = auto-calculated by formula. After editing blue cells, please recalculate in Excel.</t>
    </r>
  </si>
  <si>
    <r>
      <rPr>
        <i/>
        <sz val="8"/>
        <color rgb="FF808080"/>
        <rFont val="Noto Sans CJK SC"/>
        <family val="2"/>
        <charset val="1"/>
      </rPr>
      <t>※</t>
    </r>
    <r>
      <rPr>
        <i/>
        <sz val="8"/>
        <color rgb="FF808080"/>
        <rFont val="Times New Roman"/>
        <family val="1"/>
      </rPr>
      <t xml:space="preserve"> Initial cash turning red = funds depleted; ideal runway is 12–18 months. Fixed/variable costs (green text) are linked to the "Expense Forecast" sheet.</t>
    </r>
  </si>
  <si>
    <r>
      <rPr>
        <i/>
        <sz val="8"/>
        <color rgb="FF808080"/>
        <rFont val="Noto Sans CJK SC"/>
        <family val="2"/>
        <charset val="1"/>
      </rPr>
      <t>※</t>
    </r>
    <r>
      <rPr>
        <i/>
        <sz val="8"/>
        <color rgb="FF808080"/>
        <rFont val="Times New Roman"/>
        <family val="1"/>
      </rPr>
      <t xml:space="preserve"> Blue text is an adjustable assumption; this table is the base case — a conservative and an optimistic version are recommended as well. Figures are illustrative only; calibrate against actual pilot quotes.</t>
    </r>
  </si>
  <si>
    <r>
      <rPr>
        <i/>
        <sz val="8"/>
        <color rgb="FF808080"/>
        <rFont val="Noto Sans CJK SC"/>
        <family val="2"/>
        <charset val="1"/>
      </rPr>
      <t>※</t>
    </r>
    <r>
      <rPr>
        <i/>
        <sz val="8"/>
        <color rgb="FF808080"/>
        <rFont val="Times New Roman"/>
        <family val="1"/>
      </rPr>
      <t xml:space="preserve"> Technology shares are issued as in-kind (non-cash) technology valuation; the "Paid-in / Valuation Amount per Round" above includes this valuation amount. Cash fundraising is primarily via the Angel Round and Round 1.</t>
    </r>
  </si>
  <si>
    <t>STEP 1–6: Fill in the yellow assumption cells below; the equity table will automatically calculate share counts, ownership %, valuation, and paid-in amount for each round.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</si>
</sst>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(#,##0\);\-"/>
    <numFmt numFmtId="177" formatCode="0.0%"/>
    <numFmt numFmtId="178" formatCode="0.0"/>
    <numFmt numFmtId="179" formatCode="#,##0.0"/>
  </numFmts>
  <fonts count="12">
    <font>
      <sz val="11"/>
      <color theme="1"/>
      <name val="Calibri"/>
      <family val="2"/>
      <charset val="1"/>
    </font>
    <font>
      <i/>
      <sz val="8"/>
      <color rgb="FF808080"/>
      <name val="Noto Sans CJK SC"/>
      <family val="2"/>
      <charset val="1"/>
    </font>
    <font>
      <sz val="9"/>
      <name val="DFKai-SB"/>
      <family val="4"/>
      <charset val="136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B2A3F"/>
      <name val="Times New Roman"/>
      <family val="1"/>
    </font>
    <font>
      <sz val="10"/>
      <color rgb="FF000000"/>
      <name val="Times New Roman"/>
      <family val="1"/>
    </font>
    <font>
      <sz val="10"/>
      <color rgb="FF0000FF"/>
      <name val="Times New Roman"/>
      <family val="1"/>
    </font>
    <font>
      <i/>
      <sz val="8"/>
      <color rgb="FF808080"/>
      <name val="Times New Roman"/>
      <family val="1"/>
    </font>
    <font>
      <b/>
      <sz val="11"/>
      <color rgb="FFFFFFFF"/>
      <name val="Times New Roman"/>
      <family val="1"/>
    </font>
    <font>
      <sz val="10"/>
      <color rgb="FF008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B2A3F"/>
        <bgColor rgb="FF003300"/>
      </patternFill>
    </fill>
    <fill>
      <patternFill patternType="solid">
        <fgColor rgb="FF0E5C63"/>
        <bgColor rgb="FF0E7C7B"/>
      </patternFill>
    </fill>
    <fill>
      <patternFill patternType="solid">
        <fgColor rgb="FFFFFDE7"/>
        <bgColor rgb="FFFFFFFF"/>
      </patternFill>
    </fill>
    <fill>
      <patternFill patternType="solid">
        <fgColor rgb="FFE6F2F1"/>
        <bgColor rgb="FFFFFDE7"/>
      </patternFill>
    </fill>
    <fill>
      <patternFill patternType="solid">
        <fgColor rgb="FF0E7C7B"/>
        <bgColor rgb="FF0E5C63"/>
      </patternFill>
    </fill>
    <fill>
      <patternFill patternType="solid">
        <fgColor rgb="FFFFF2CC"/>
        <bgColor rgb="FFFFFDE7"/>
      </patternFill>
    </fill>
  </fills>
  <borders count="3">
    <border>
      <left/>
      <right/>
      <top/>
      <bottom/>
      <diagonal/>
    </border>
    <border>
      <left style="thin">
        <color rgb="FFD6DEE2"/>
      </left>
      <right style="thin">
        <color rgb="FFD6DEE2"/>
      </right>
      <top style="thin">
        <color rgb="FFD6DEE2"/>
      </top>
      <bottom style="thin">
        <color rgb="FFD6DEE2"/>
      </bottom>
      <diagonal/>
    </border>
    <border>
      <left style="thin">
        <color rgb="FFD6DEE2"/>
      </left>
      <right/>
      <top style="thin">
        <color rgb="FFD6DEE2"/>
      </top>
      <bottom style="thin">
        <color rgb="FFD6DEE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176" fontId="8" fillId="4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right" vertical="center"/>
    </xf>
    <xf numFmtId="0" fontId="6" fillId="0" borderId="1" xfId="0" applyFont="1" applyBorder="1"/>
    <xf numFmtId="0" fontId="4" fillId="5" borderId="1" xfId="0" applyFont="1" applyFill="1" applyBorder="1"/>
    <xf numFmtId="0" fontId="6" fillId="5" borderId="1" xfId="0" applyFont="1" applyFill="1" applyBorder="1" applyAlignment="1">
      <alignment wrapText="1"/>
    </xf>
    <xf numFmtId="176" fontId="6" fillId="5" borderId="1" xfId="0" applyNumberFormat="1" applyFont="1" applyFill="1" applyBorder="1" applyAlignment="1">
      <alignment horizontal="right" vertical="center"/>
    </xf>
    <xf numFmtId="1" fontId="8" fillId="4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/>
    <xf numFmtId="0" fontId="10" fillId="6" borderId="1" xfId="0" applyFont="1" applyFill="1" applyBorder="1" applyAlignment="1">
      <alignment wrapText="1"/>
    </xf>
    <xf numFmtId="176" fontId="10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wrapText="1"/>
    </xf>
    <xf numFmtId="0" fontId="4" fillId="2" borderId="0" xfId="0" applyFont="1" applyFill="1"/>
    <xf numFmtId="0" fontId="6" fillId="0" borderId="0" xfId="0" applyFont="1" applyAlignment="1">
      <alignment wrapText="1"/>
    </xf>
    <xf numFmtId="0" fontId="5" fillId="3" borderId="1" xfId="0" applyFont="1" applyFill="1" applyBorder="1"/>
    <xf numFmtId="0" fontId="4" fillId="3" borderId="0" xfId="0" applyFont="1" applyFill="1"/>
    <xf numFmtId="0" fontId="6" fillId="0" borderId="1" xfId="0" applyFont="1" applyBorder="1" applyAlignment="1">
      <alignment horizontal="left" vertical="center" wrapText="1"/>
    </xf>
    <xf numFmtId="176" fontId="11" fillId="0" borderId="1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" fontId="7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177" fontId="8" fillId="4" borderId="1" xfId="0" applyNumberFormat="1" applyFont="1" applyFill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176" fontId="6" fillId="7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179" fontId="8" fillId="7" borderId="1" xfId="0" applyNumberFormat="1" applyFont="1" applyFill="1" applyBorder="1" applyAlignment="1">
      <alignment horizontal="center" vertical="center"/>
    </xf>
    <xf numFmtId="177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3" fontId="7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/>
    <xf numFmtId="3" fontId="6" fillId="5" borderId="1" xfId="0" applyNumberFormat="1" applyFont="1" applyFill="1" applyBorder="1" applyAlignment="1">
      <alignment horizontal="right" vertical="center"/>
    </xf>
    <xf numFmtId="177" fontId="6" fillId="5" borderId="1" xfId="0" applyNumberFormat="1" applyFont="1" applyFill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4" fillId="7" borderId="1" xfId="0" applyFont="1" applyFill="1" applyBorder="1"/>
    <xf numFmtId="0" fontId="10" fillId="6" borderId="0" xfId="0" applyFont="1" applyFill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2" xfId="0" applyFont="1" applyBorder="1"/>
  </cellXfs>
  <cellStyles count="1">
    <cellStyle name="一般" xfId="0" builtinId="0"/>
  </cellStyles>
  <dxfs count="1"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FFDE7"/>
      <rgbColor rgb="FFE6F2F1"/>
      <rgbColor rgb="FF660066"/>
      <rgbColor rgb="FFFF8080"/>
      <rgbColor rgb="FF0066CC"/>
      <rgbColor rgb="FFD6DEE2"/>
      <rgbColor rgb="FF000080"/>
      <rgbColor rgb="FFFF00FF"/>
      <rgbColor rgb="FFFFFF00"/>
      <rgbColor rgb="FF00FFFF"/>
      <rgbColor rgb="FF800080"/>
      <rgbColor rgb="FF800000"/>
      <rgbColor rgb="FF0E5C63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A3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zoomScale="91" zoomScaleNormal="100" workbookViewId="0">
      <selection activeCell="B38" sqref="B38"/>
    </sheetView>
  </sheetViews>
  <sheetFormatPr baseColWidth="10" defaultColWidth="8.6640625" defaultRowHeight="14"/>
  <cols>
    <col min="1" max="1" width="9" style="2" customWidth="1"/>
    <col min="2" max="2" width="15" style="2" customWidth="1"/>
    <col min="3" max="3" width="32" style="2" customWidth="1"/>
    <col min="4" max="4" width="15" style="2" customWidth="1"/>
    <col min="5" max="5" width="58.5" style="2" customWidth="1"/>
    <col min="6" max="16384" width="8.6640625" style="2"/>
  </cols>
  <sheetData>
    <row r="1" spans="1:5" ht="42.75" customHeight="1">
      <c r="A1" s="1" t="s">
        <v>0</v>
      </c>
      <c r="B1" s="1"/>
      <c r="C1" s="1"/>
      <c r="D1" s="1"/>
      <c r="E1" s="1"/>
    </row>
    <row r="2" spans="1:5" ht="31.5" customHeight="1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</row>
    <row r="3" spans="1:5" ht="37.5" customHeight="1">
      <c r="A3" s="5">
        <v>1</v>
      </c>
      <c r="B3" s="6" t="s">
        <v>6</v>
      </c>
      <c r="C3" s="7" t="s">
        <v>7</v>
      </c>
      <c r="D3" s="8">
        <v>1000000</v>
      </c>
      <c r="E3" s="9" t="s">
        <v>8</v>
      </c>
    </row>
    <row r="4" spans="1:5" ht="31.5" customHeight="1">
      <c r="A4" s="5">
        <v>2</v>
      </c>
      <c r="B4" s="6" t="s">
        <v>9</v>
      </c>
      <c r="C4" s="7" t="s">
        <v>10</v>
      </c>
      <c r="D4" s="10">
        <v>3000</v>
      </c>
      <c r="E4" s="9"/>
    </row>
    <row r="5" spans="1:5" ht="31.5" customHeight="1">
      <c r="A5" s="5">
        <v>3</v>
      </c>
      <c r="B5" s="11"/>
      <c r="C5" s="7" t="s">
        <v>11</v>
      </c>
      <c r="D5" s="10">
        <v>30000</v>
      </c>
      <c r="E5" s="9"/>
    </row>
    <row r="6" spans="1:5" ht="31.5" customHeight="1">
      <c r="A6" s="5">
        <v>4</v>
      </c>
      <c r="B6" s="11"/>
      <c r="C6" s="7" t="s">
        <v>12</v>
      </c>
      <c r="D6" s="8">
        <v>0</v>
      </c>
      <c r="E6" s="9" t="s">
        <v>13</v>
      </c>
    </row>
    <row r="7" spans="1:5" ht="18.75" customHeight="1">
      <c r="A7" s="5">
        <v>5</v>
      </c>
      <c r="B7" s="11"/>
      <c r="C7" s="7" t="s">
        <v>14</v>
      </c>
      <c r="D7" s="10">
        <v>20000</v>
      </c>
      <c r="E7" s="9"/>
    </row>
    <row r="8" spans="1:5" ht="18.75" customHeight="1">
      <c r="A8" s="5">
        <v>6</v>
      </c>
      <c r="B8" s="11"/>
      <c r="C8" s="7" t="s">
        <v>15</v>
      </c>
      <c r="D8" s="10">
        <v>10000</v>
      </c>
      <c r="E8" s="9"/>
    </row>
    <row r="9" spans="1:5" ht="31.5" customHeight="1">
      <c r="A9" s="5">
        <v>7</v>
      </c>
      <c r="B9" s="11"/>
      <c r="C9" s="7" t="s">
        <v>16</v>
      </c>
      <c r="D9" s="8">
        <v>50000</v>
      </c>
      <c r="E9" s="9" t="s">
        <v>17</v>
      </c>
    </row>
    <row r="10" spans="1:5" ht="18.75" customHeight="1">
      <c r="A10" s="5">
        <v>8</v>
      </c>
      <c r="B10" s="11"/>
      <c r="C10" s="7" t="s">
        <v>18</v>
      </c>
      <c r="D10" s="8">
        <v>0</v>
      </c>
      <c r="E10" s="9"/>
    </row>
    <row r="11" spans="1:5" ht="31.5" customHeight="1">
      <c r="A11" s="12"/>
      <c r="B11" s="12"/>
      <c r="C11" s="13" t="s">
        <v>19</v>
      </c>
      <c r="D11" s="14">
        <f>SUM(D4:D10)</f>
        <v>113000</v>
      </c>
      <c r="E11" s="12"/>
    </row>
    <row r="12" spans="1:5" ht="27" customHeight="1">
      <c r="A12" s="5">
        <v>9</v>
      </c>
      <c r="B12" s="11" t="s">
        <v>20</v>
      </c>
      <c r="C12" s="7" t="s">
        <v>21</v>
      </c>
      <c r="D12" s="8">
        <v>120000</v>
      </c>
      <c r="E12" s="9" t="s">
        <v>22</v>
      </c>
    </row>
    <row r="13" spans="1:5" ht="18.75" customHeight="1">
      <c r="A13" s="5">
        <v>10</v>
      </c>
      <c r="B13" s="11"/>
      <c r="C13" s="7" t="s">
        <v>23</v>
      </c>
      <c r="D13" s="10">
        <v>42000</v>
      </c>
      <c r="E13" s="9" t="s">
        <v>24</v>
      </c>
    </row>
    <row r="14" spans="1:5" ht="31.5" customHeight="1">
      <c r="A14" s="5">
        <v>11</v>
      </c>
      <c r="B14" s="11"/>
      <c r="C14" s="7" t="s">
        <v>25</v>
      </c>
      <c r="D14" s="10">
        <v>36000</v>
      </c>
      <c r="E14" s="9" t="s">
        <v>26</v>
      </c>
    </row>
    <row r="15" spans="1:5" ht="18.75" customHeight="1">
      <c r="A15" s="5">
        <v>12</v>
      </c>
      <c r="B15" s="11"/>
      <c r="C15" s="7" t="s">
        <v>27</v>
      </c>
      <c r="D15" s="15">
        <v>3</v>
      </c>
      <c r="E15" s="9" t="s">
        <v>28</v>
      </c>
    </row>
    <row r="16" spans="1:5" ht="31.5" customHeight="1">
      <c r="A16" s="5"/>
      <c r="B16" s="11"/>
      <c r="C16" s="7" t="s">
        <v>29</v>
      </c>
      <c r="D16" s="8">
        <v>40000</v>
      </c>
      <c r="E16" s="9" t="s">
        <v>30</v>
      </c>
    </row>
    <row r="17" spans="1:5" ht="37.5" customHeight="1">
      <c r="A17" s="5">
        <v>13</v>
      </c>
      <c r="B17" s="11"/>
      <c r="C17" s="7" t="s">
        <v>31</v>
      </c>
      <c r="D17" s="10">
        <f>(D16*12*1.25+D16*2)*D15</f>
        <v>2040000</v>
      </c>
      <c r="E17" s="9" t="s">
        <v>32</v>
      </c>
    </row>
    <row r="18" spans="1:5" ht="31.5" customHeight="1">
      <c r="A18" s="12"/>
      <c r="B18" s="12"/>
      <c r="C18" s="13" t="s">
        <v>33</v>
      </c>
      <c r="D18" s="14">
        <f>D12+D13+D14+D17</f>
        <v>2238000</v>
      </c>
      <c r="E18" s="12"/>
    </row>
    <row r="19" spans="1:5" ht="31.5" customHeight="1">
      <c r="A19" s="5">
        <v>14</v>
      </c>
      <c r="B19" s="6" t="s">
        <v>34</v>
      </c>
      <c r="C19" s="7" t="s">
        <v>35</v>
      </c>
      <c r="D19" s="8">
        <v>300000</v>
      </c>
      <c r="E19" s="9" t="s">
        <v>36</v>
      </c>
    </row>
    <row r="20" spans="1:5" ht="31.5" customHeight="1">
      <c r="A20" s="5">
        <v>15</v>
      </c>
      <c r="B20" s="11"/>
      <c r="C20" s="7" t="s">
        <v>37</v>
      </c>
      <c r="D20" s="8">
        <v>240000</v>
      </c>
      <c r="E20" s="9" t="s">
        <v>38</v>
      </c>
    </row>
    <row r="21" spans="1:5" ht="31.5" customHeight="1">
      <c r="A21" s="5">
        <v>16</v>
      </c>
      <c r="B21" s="11"/>
      <c r="C21" s="7" t="s">
        <v>39</v>
      </c>
      <c r="D21" s="10">
        <v>60000</v>
      </c>
      <c r="E21" s="9" t="s">
        <v>40</v>
      </c>
    </row>
    <row r="22" spans="1:5" ht="18.75" customHeight="1">
      <c r="A22" s="5">
        <v>17</v>
      </c>
      <c r="B22" s="11"/>
      <c r="C22" s="7" t="s">
        <v>41</v>
      </c>
      <c r="D22" s="10">
        <v>60000</v>
      </c>
      <c r="E22" s="9" t="s">
        <v>40</v>
      </c>
    </row>
    <row r="23" spans="1:5" ht="18.75" customHeight="1">
      <c r="A23" s="5">
        <v>18</v>
      </c>
      <c r="B23" s="11"/>
      <c r="C23" s="7" t="s">
        <v>42</v>
      </c>
      <c r="D23" s="10">
        <v>5500</v>
      </c>
      <c r="E23" s="9"/>
    </row>
    <row r="24" spans="1:5" ht="31.5" customHeight="1">
      <c r="A24" s="5">
        <v>19</v>
      </c>
      <c r="B24" s="11"/>
      <c r="C24" s="7" t="s">
        <v>43</v>
      </c>
      <c r="D24" s="8">
        <v>60000</v>
      </c>
      <c r="E24" s="9" t="s">
        <v>44</v>
      </c>
    </row>
    <row r="25" spans="1:5" ht="31.5" customHeight="1">
      <c r="A25" s="5">
        <v>20</v>
      </c>
      <c r="B25" s="11"/>
      <c r="C25" s="7" t="s">
        <v>45</v>
      </c>
      <c r="D25" s="8">
        <v>0</v>
      </c>
      <c r="E25" s="9"/>
    </row>
    <row r="26" spans="1:5" ht="18.75" customHeight="1">
      <c r="A26" s="5">
        <v>21</v>
      </c>
      <c r="B26" s="11"/>
      <c r="C26" s="7" t="s">
        <v>46</v>
      </c>
      <c r="D26" s="8">
        <v>0</v>
      </c>
      <c r="E26" s="9"/>
    </row>
    <row r="27" spans="1:5" ht="18.75" customHeight="1">
      <c r="A27" s="5">
        <v>22</v>
      </c>
      <c r="B27" s="11"/>
      <c r="C27" s="7" t="s">
        <v>47</v>
      </c>
      <c r="D27" s="8">
        <v>0</v>
      </c>
      <c r="E27" s="9"/>
    </row>
    <row r="28" spans="1:5" ht="31.5" customHeight="1">
      <c r="A28" s="12"/>
      <c r="B28" s="12"/>
      <c r="C28" s="13" t="s">
        <v>48</v>
      </c>
      <c r="D28" s="14">
        <f>SUM(D19:D27)</f>
        <v>725500</v>
      </c>
      <c r="E28" s="12"/>
    </row>
    <row r="29" spans="1:5" ht="18.75" customHeight="1">
      <c r="A29" s="5">
        <v>23</v>
      </c>
      <c r="B29" s="11" t="s">
        <v>49</v>
      </c>
      <c r="C29" s="7" t="s">
        <v>50</v>
      </c>
      <c r="D29" s="8">
        <v>0</v>
      </c>
      <c r="E29" s="9" t="s">
        <v>51</v>
      </c>
    </row>
    <row r="30" spans="1:5" ht="18.75" customHeight="1">
      <c r="A30" s="5">
        <v>24</v>
      </c>
      <c r="B30" s="11"/>
      <c r="C30" s="7" t="s">
        <v>52</v>
      </c>
      <c r="D30" s="8">
        <v>0</v>
      </c>
      <c r="E30" s="9"/>
    </row>
    <row r="31" spans="1:5" ht="31.5" customHeight="1">
      <c r="A31" s="5">
        <v>25</v>
      </c>
      <c r="B31" s="11"/>
      <c r="C31" s="7" t="s">
        <v>53</v>
      </c>
      <c r="D31" s="8">
        <v>0</v>
      </c>
      <c r="E31" s="9"/>
    </row>
    <row r="32" spans="1:5" ht="31.5" customHeight="1">
      <c r="A32" s="12"/>
      <c r="B32" s="12"/>
      <c r="C32" s="13" t="s">
        <v>54</v>
      </c>
      <c r="D32" s="14">
        <f>SUM(D29:D31)</f>
        <v>0</v>
      </c>
      <c r="E32" s="12"/>
    </row>
    <row r="33" spans="1:5" ht="31.5" customHeight="1">
      <c r="A33" s="16"/>
      <c r="B33" s="16"/>
      <c r="C33" s="17" t="s">
        <v>55</v>
      </c>
      <c r="D33" s="18">
        <f>D11+D18+D28+D32</f>
        <v>3076500</v>
      </c>
      <c r="E33" s="16"/>
    </row>
    <row r="35" spans="1:5" ht="27" customHeight="1">
      <c r="A35" s="19" t="s">
        <v>142</v>
      </c>
      <c r="B35" s="19"/>
      <c r="C35" s="19"/>
      <c r="D35" s="19"/>
      <c r="E35" s="19"/>
    </row>
  </sheetData>
  <mergeCells count="2">
    <mergeCell ref="A1:E1"/>
    <mergeCell ref="A35:E35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showGridLines="0" zoomScaleNormal="100" workbookViewId="0">
      <selection activeCell="E21" sqref="E21"/>
    </sheetView>
  </sheetViews>
  <sheetFormatPr baseColWidth="10" defaultColWidth="8.6640625" defaultRowHeight="14"/>
  <cols>
    <col min="1" max="1" width="40" style="2" customWidth="1"/>
    <col min="2" max="2" width="12" style="2" customWidth="1"/>
    <col min="3" max="20" width="11" style="2" customWidth="1"/>
    <col min="21" max="16384" width="8.6640625" style="2"/>
  </cols>
  <sheetData>
    <row r="1" spans="1:20" ht="42.75" customHeight="1">
      <c r="A1" s="1" t="s">
        <v>56</v>
      </c>
      <c r="B1" s="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31.5" customHeight="1">
      <c r="A2" s="21" t="s">
        <v>57</v>
      </c>
      <c r="B2" s="8">
        <v>3000000</v>
      </c>
    </row>
    <row r="3" spans="1:20" ht="31.5" customHeight="1">
      <c r="A3" s="21" t="s">
        <v>58</v>
      </c>
      <c r="B3" s="8">
        <v>0</v>
      </c>
    </row>
    <row r="5" spans="1:20" ht="18.75" customHeight="1">
      <c r="A5" s="22" t="s">
        <v>59</v>
      </c>
      <c r="B5" s="23"/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</row>
    <row r="6" spans="1:20" ht="18.75" customHeight="1">
      <c r="A6" s="24" t="s">
        <v>60</v>
      </c>
      <c r="C6" s="10">
        <f>$B$2</f>
        <v>3000000</v>
      </c>
      <c r="D6" s="10">
        <f t="shared" ref="D6:T6" si="0">C6-C11+C7</f>
        <v>2640041.6666666665</v>
      </c>
      <c r="E6" s="10">
        <f t="shared" si="0"/>
        <v>2393083.333333333</v>
      </c>
      <c r="F6" s="10">
        <f t="shared" si="0"/>
        <v>2146124.9999999995</v>
      </c>
      <c r="G6" s="10">
        <f t="shared" si="0"/>
        <v>1899166.6666666663</v>
      </c>
      <c r="H6" s="10">
        <f t="shared" si="0"/>
        <v>1652208.333333333</v>
      </c>
      <c r="I6" s="10">
        <f t="shared" si="0"/>
        <v>1405249.9999999998</v>
      </c>
      <c r="J6" s="10">
        <f t="shared" si="0"/>
        <v>1158291.6666666665</v>
      </c>
      <c r="K6" s="10">
        <f t="shared" si="0"/>
        <v>911333.33333333314</v>
      </c>
      <c r="L6" s="10">
        <f t="shared" si="0"/>
        <v>664374.99999999977</v>
      </c>
      <c r="M6" s="10">
        <f t="shared" si="0"/>
        <v>417416.6666666664</v>
      </c>
      <c r="N6" s="10">
        <f t="shared" si="0"/>
        <v>170458.33333333305</v>
      </c>
      <c r="O6" s="10">
        <f t="shared" si="0"/>
        <v>-76500.000000000291</v>
      </c>
      <c r="P6" s="10">
        <f t="shared" si="0"/>
        <v>-323458.3333333336</v>
      </c>
      <c r="Q6" s="10">
        <f t="shared" si="0"/>
        <v>-570416.66666666698</v>
      </c>
      <c r="R6" s="10">
        <f t="shared" si="0"/>
        <v>-817375.00000000035</v>
      </c>
      <c r="S6" s="10">
        <f t="shared" si="0"/>
        <v>-1064333.3333333337</v>
      </c>
      <c r="T6" s="10">
        <f t="shared" si="0"/>
        <v>-1311291.666666667</v>
      </c>
    </row>
    <row r="7" spans="1:20" ht="18.75" customHeight="1">
      <c r="A7" s="24" t="s">
        <v>61</v>
      </c>
      <c r="C7" s="10">
        <f t="shared" ref="C7:T7" si="1">$B$3</f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>
        <f t="shared" si="1"/>
        <v>0</v>
      </c>
      <c r="N7" s="10">
        <f t="shared" si="1"/>
        <v>0</v>
      </c>
      <c r="O7" s="10">
        <f t="shared" si="1"/>
        <v>0</v>
      </c>
      <c r="P7" s="10">
        <f t="shared" si="1"/>
        <v>0</v>
      </c>
      <c r="Q7" s="10">
        <f t="shared" si="1"/>
        <v>0</v>
      </c>
      <c r="R7" s="10">
        <f t="shared" si="1"/>
        <v>0</v>
      </c>
      <c r="S7" s="10">
        <f t="shared" si="1"/>
        <v>0</v>
      </c>
      <c r="T7" s="10">
        <f t="shared" si="1"/>
        <v>0</v>
      </c>
    </row>
    <row r="8" spans="1:20" ht="31.5" customHeight="1">
      <c r="A8" s="24" t="s">
        <v>62</v>
      </c>
      <c r="C8" s="25">
        <f>'Expense Forecast'!$D$11</f>
        <v>113000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0" ht="18.75" customHeight="1">
      <c r="A9" s="24" t="s">
        <v>63</v>
      </c>
      <c r="C9" s="25">
        <f>'Expense Forecast'!$D$18/12</f>
        <v>186500</v>
      </c>
      <c r="D9" s="25">
        <f>'Expense Forecast'!$D$18/12</f>
        <v>186500</v>
      </c>
      <c r="E9" s="25">
        <f>'Expense Forecast'!$D$18/12</f>
        <v>186500</v>
      </c>
      <c r="F9" s="25">
        <f>'Expense Forecast'!$D$18/12</f>
        <v>186500</v>
      </c>
      <c r="G9" s="25">
        <f>'Expense Forecast'!$D$18/12</f>
        <v>186500</v>
      </c>
      <c r="H9" s="25">
        <f>'Expense Forecast'!$D$18/12</f>
        <v>186500</v>
      </c>
      <c r="I9" s="25">
        <f>'Expense Forecast'!$D$18/12</f>
        <v>186500</v>
      </c>
      <c r="J9" s="25">
        <f>'Expense Forecast'!$D$18/12</f>
        <v>186500</v>
      </c>
      <c r="K9" s="25">
        <f>'Expense Forecast'!$D$18/12</f>
        <v>186500</v>
      </c>
      <c r="L9" s="25">
        <f>'Expense Forecast'!$D$18/12</f>
        <v>186500</v>
      </c>
      <c r="M9" s="25">
        <f>'Expense Forecast'!$D$18/12</f>
        <v>186500</v>
      </c>
      <c r="N9" s="25">
        <f>'Expense Forecast'!$D$18/12</f>
        <v>186500</v>
      </c>
      <c r="O9" s="25">
        <f>'Expense Forecast'!$D$18/12</f>
        <v>186500</v>
      </c>
      <c r="P9" s="25">
        <f>'Expense Forecast'!$D$18/12</f>
        <v>186500</v>
      </c>
      <c r="Q9" s="25">
        <f>'Expense Forecast'!$D$18/12</f>
        <v>186500</v>
      </c>
      <c r="R9" s="25">
        <f>'Expense Forecast'!$D$18/12</f>
        <v>186500</v>
      </c>
      <c r="S9" s="25">
        <f>'Expense Forecast'!$D$18/12</f>
        <v>186500</v>
      </c>
      <c r="T9" s="25">
        <f>'Expense Forecast'!$D$18/12</f>
        <v>186500</v>
      </c>
    </row>
    <row r="10" spans="1:20" ht="18.75" customHeight="1">
      <c r="A10" s="24" t="s">
        <v>64</v>
      </c>
      <c r="C10" s="25">
        <f>'Expense Forecast'!$D$28/12</f>
        <v>60458.333333333336</v>
      </c>
      <c r="D10" s="25">
        <f>'Expense Forecast'!$D$28/12</f>
        <v>60458.333333333336</v>
      </c>
      <c r="E10" s="25">
        <f>'Expense Forecast'!$D$28/12</f>
        <v>60458.333333333336</v>
      </c>
      <c r="F10" s="25">
        <f>'Expense Forecast'!$D$28/12</f>
        <v>60458.333333333336</v>
      </c>
      <c r="G10" s="25">
        <f>'Expense Forecast'!$D$28/12</f>
        <v>60458.333333333336</v>
      </c>
      <c r="H10" s="25">
        <f>'Expense Forecast'!$D$28/12</f>
        <v>60458.333333333336</v>
      </c>
      <c r="I10" s="25">
        <f>'Expense Forecast'!$D$28/12</f>
        <v>60458.333333333336</v>
      </c>
      <c r="J10" s="25">
        <f>'Expense Forecast'!$D$28/12</f>
        <v>60458.333333333336</v>
      </c>
      <c r="K10" s="25">
        <f>'Expense Forecast'!$D$28/12</f>
        <v>60458.333333333336</v>
      </c>
      <c r="L10" s="25">
        <f>'Expense Forecast'!$D$28/12</f>
        <v>60458.333333333336</v>
      </c>
      <c r="M10" s="25">
        <f>'Expense Forecast'!$D$28/12</f>
        <v>60458.333333333336</v>
      </c>
      <c r="N10" s="25">
        <f>'Expense Forecast'!$D$28/12</f>
        <v>60458.333333333336</v>
      </c>
      <c r="O10" s="25">
        <f>'Expense Forecast'!$D$28/12</f>
        <v>60458.333333333336</v>
      </c>
      <c r="P10" s="25">
        <f>'Expense Forecast'!$D$28/12</f>
        <v>60458.333333333336</v>
      </c>
      <c r="Q10" s="25">
        <f>'Expense Forecast'!$D$28/12</f>
        <v>60458.333333333336</v>
      </c>
      <c r="R10" s="25">
        <f>'Expense Forecast'!$D$28/12</f>
        <v>60458.333333333336</v>
      </c>
      <c r="S10" s="25">
        <f>'Expense Forecast'!$D$28/12</f>
        <v>60458.333333333336</v>
      </c>
      <c r="T10" s="25">
        <f>'Expense Forecast'!$D$28/12</f>
        <v>60458.333333333336</v>
      </c>
    </row>
    <row r="11" spans="1:20" ht="18.75" customHeight="1">
      <c r="A11" s="24" t="s">
        <v>65</v>
      </c>
      <c r="C11" s="10">
        <f t="shared" ref="C11:T11" si="2">C8+C9+C10</f>
        <v>359958.33333333331</v>
      </c>
      <c r="D11" s="10">
        <f t="shared" si="2"/>
        <v>246958.33333333334</v>
      </c>
      <c r="E11" s="10">
        <f t="shared" si="2"/>
        <v>246958.33333333334</v>
      </c>
      <c r="F11" s="10">
        <f t="shared" si="2"/>
        <v>246958.33333333334</v>
      </c>
      <c r="G11" s="10">
        <f t="shared" si="2"/>
        <v>246958.33333333334</v>
      </c>
      <c r="H11" s="10">
        <f t="shared" si="2"/>
        <v>246958.33333333334</v>
      </c>
      <c r="I11" s="10">
        <f t="shared" si="2"/>
        <v>246958.33333333334</v>
      </c>
      <c r="J11" s="10">
        <f t="shared" si="2"/>
        <v>246958.33333333334</v>
      </c>
      <c r="K11" s="10">
        <f t="shared" si="2"/>
        <v>246958.33333333334</v>
      </c>
      <c r="L11" s="10">
        <f t="shared" si="2"/>
        <v>246958.33333333334</v>
      </c>
      <c r="M11" s="10">
        <f t="shared" si="2"/>
        <v>246958.33333333334</v>
      </c>
      <c r="N11" s="10">
        <f t="shared" si="2"/>
        <v>246958.33333333334</v>
      </c>
      <c r="O11" s="10">
        <f t="shared" si="2"/>
        <v>246958.33333333334</v>
      </c>
      <c r="P11" s="10">
        <f t="shared" si="2"/>
        <v>246958.33333333334</v>
      </c>
      <c r="Q11" s="10">
        <f t="shared" si="2"/>
        <v>246958.33333333334</v>
      </c>
      <c r="R11" s="10">
        <f t="shared" si="2"/>
        <v>246958.33333333334</v>
      </c>
      <c r="S11" s="10">
        <f t="shared" si="2"/>
        <v>246958.33333333334</v>
      </c>
      <c r="T11" s="10">
        <f t="shared" si="2"/>
        <v>246958.33333333334</v>
      </c>
    </row>
    <row r="12" spans="1:20" ht="18.75" customHeight="1">
      <c r="A12" s="24" t="s">
        <v>66</v>
      </c>
      <c r="C12" s="10">
        <f t="shared" ref="C12:T12" si="3">C11-C7</f>
        <v>359958.33333333331</v>
      </c>
      <c r="D12" s="10">
        <f t="shared" si="3"/>
        <v>246958.33333333334</v>
      </c>
      <c r="E12" s="10">
        <f t="shared" si="3"/>
        <v>246958.33333333334</v>
      </c>
      <c r="F12" s="10">
        <f t="shared" si="3"/>
        <v>246958.33333333334</v>
      </c>
      <c r="G12" s="10">
        <f t="shared" si="3"/>
        <v>246958.33333333334</v>
      </c>
      <c r="H12" s="10">
        <f t="shared" si="3"/>
        <v>246958.33333333334</v>
      </c>
      <c r="I12" s="10">
        <f t="shared" si="3"/>
        <v>246958.33333333334</v>
      </c>
      <c r="J12" s="10">
        <f t="shared" si="3"/>
        <v>246958.33333333334</v>
      </c>
      <c r="K12" s="10">
        <f t="shared" si="3"/>
        <v>246958.33333333334</v>
      </c>
      <c r="L12" s="10">
        <f t="shared" si="3"/>
        <v>246958.33333333334</v>
      </c>
      <c r="M12" s="10">
        <f t="shared" si="3"/>
        <v>246958.33333333334</v>
      </c>
      <c r="N12" s="10">
        <f t="shared" si="3"/>
        <v>246958.33333333334</v>
      </c>
      <c r="O12" s="10">
        <f t="shared" si="3"/>
        <v>246958.33333333334</v>
      </c>
      <c r="P12" s="10">
        <f t="shared" si="3"/>
        <v>246958.33333333334</v>
      </c>
      <c r="Q12" s="10">
        <f t="shared" si="3"/>
        <v>246958.33333333334</v>
      </c>
      <c r="R12" s="10">
        <f t="shared" si="3"/>
        <v>246958.33333333334</v>
      </c>
      <c r="S12" s="10">
        <f t="shared" si="3"/>
        <v>246958.33333333334</v>
      </c>
      <c r="T12" s="10">
        <f t="shared" si="3"/>
        <v>246958.33333333334</v>
      </c>
    </row>
    <row r="13" spans="1:20" ht="31.5" customHeight="1">
      <c r="A13" s="24" t="s">
        <v>67</v>
      </c>
      <c r="C13" s="26">
        <f t="shared" ref="C13:T13" si="4">IFERROR(C11/C6,"")</f>
        <v>0.1199861111111111</v>
      </c>
      <c r="D13" s="26">
        <f t="shared" si="4"/>
        <v>9.3543346853742854E-2</v>
      </c>
      <c r="E13" s="26">
        <f t="shared" si="4"/>
        <v>0.10319671274854618</v>
      </c>
      <c r="F13" s="26">
        <f t="shared" si="4"/>
        <v>0.11507173782204363</v>
      </c>
      <c r="G13" s="26">
        <f t="shared" si="4"/>
        <v>0.13003510311540153</v>
      </c>
      <c r="H13" s="26">
        <f t="shared" si="4"/>
        <v>0.14947166670869799</v>
      </c>
      <c r="I13" s="26">
        <f t="shared" si="4"/>
        <v>0.17573978532882645</v>
      </c>
      <c r="J13" s="26">
        <f t="shared" si="4"/>
        <v>0.21320910824130368</v>
      </c>
      <c r="K13" s="26">
        <f t="shared" si="4"/>
        <v>0.27098573518653996</v>
      </c>
      <c r="L13" s="26">
        <f t="shared" si="4"/>
        <v>0.3717152712449045</v>
      </c>
      <c r="M13" s="26">
        <f t="shared" si="4"/>
        <v>0.59163505689758478</v>
      </c>
      <c r="N13" s="26">
        <f t="shared" si="4"/>
        <v>1.4487900268882938</v>
      </c>
      <c r="O13" s="26">
        <f t="shared" si="4"/>
        <v>-3.2282135076252603</v>
      </c>
      <c r="P13" s="26">
        <f t="shared" si="4"/>
        <v>-0.76349349478294415</v>
      </c>
      <c r="Q13" s="26">
        <f t="shared" si="4"/>
        <v>-0.43294375456537598</v>
      </c>
      <c r="R13" s="26">
        <f t="shared" si="4"/>
        <v>-0.30213590253351674</v>
      </c>
      <c r="S13" s="26">
        <f t="shared" si="4"/>
        <v>-0.2320310053241465</v>
      </c>
      <c r="T13" s="26">
        <f t="shared" si="4"/>
        <v>-0.1883321152807346</v>
      </c>
    </row>
    <row r="14" spans="1:20" ht="18.75" customHeight="1">
      <c r="A14" s="24" t="s">
        <v>68</v>
      </c>
      <c r="C14" s="27">
        <f t="shared" ref="C14:T14" si="5">IFERROR(C6/C11,"")</f>
        <v>8.3342979511517541</v>
      </c>
      <c r="D14" s="27">
        <f t="shared" si="5"/>
        <v>10.690231145604859</v>
      </c>
      <c r="E14" s="27">
        <f t="shared" si="5"/>
        <v>9.6902311456048569</v>
      </c>
      <c r="F14" s="27">
        <f t="shared" si="5"/>
        <v>8.6902311456048569</v>
      </c>
      <c r="G14" s="27">
        <f t="shared" si="5"/>
        <v>7.6902311456048569</v>
      </c>
      <c r="H14" s="27">
        <f t="shared" si="5"/>
        <v>6.6902311456048578</v>
      </c>
      <c r="I14" s="27">
        <f t="shared" si="5"/>
        <v>5.6902311456048578</v>
      </c>
      <c r="J14" s="27">
        <f t="shared" si="5"/>
        <v>4.6902311456048587</v>
      </c>
      <c r="K14" s="27">
        <f t="shared" si="5"/>
        <v>3.6902311456048582</v>
      </c>
      <c r="L14" s="27">
        <f t="shared" si="5"/>
        <v>2.6902311456048582</v>
      </c>
      <c r="M14" s="27">
        <f t="shared" si="5"/>
        <v>1.690231145604858</v>
      </c>
      <c r="N14" s="27">
        <f t="shared" si="5"/>
        <v>0.69023114560485799</v>
      </c>
      <c r="O14" s="27">
        <f t="shared" si="5"/>
        <v>-0.30976885439514207</v>
      </c>
      <c r="P14" s="27">
        <f t="shared" si="5"/>
        <v>-1.309768854395142</v>
      </c>
      <c r="Q14" s="27">
        <f t="shared" si="5"/>
        <v>-2.3097688543951422</v>
      </c>
      <c r="R14" s="27">
        <f t="shared" si="5"/>
        <v>-3.3097688543951422</v>
      </c>
      <c r="S14" s="27">
        <f t="shared" si="5"/>
        <v>-4.3097688543951422</v>
      </c>
      <c r="T14" s="27">
        <f t="shared" si="5"/>
        <v>-5.3097688543951422</v>
      </c>
    </row>
    <row r="16" spans="1:20" ht="30" customHeight="1">
      <c r="A16" s="19" t="s">
        <v>143</v>
      </c>
      <c r="B16" s="19"/>
      <c r="C16" s="19"/>
      <c r="D16" s="19"/>
      <c r="E16" s="19"/>
      <c r="F16" s="19"/>
      <c r="G16" s="19"/>
      <c r="H16" s="19"/>
    </row>
  </sheetData>
  <mergeCells count="3">
    <mergeCell ref="A1:B1"/>
    <mergeCell ref="C1:T1"/>
    <mergeCell ref="A16:H16"/>
  </mergeCells>
  <phoneticPr fontId="2" type="noConversion"/>
  <conditionalFormatting sqref="C6:T6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workbookViewId="0">
      <selection activeCell="E28" sqref="E28"/>
    </sheetView>
  </sheetViews>
  <sheetFormatPr baseColWidth="10" defaultColWidth="8.6640625" defaultRowHeight="14"/>
  <cols>
    <col min="1" max="1" width="36" style="2" customWidth="1"/>
    <col min="2" max="4" width="16" style="2" customWidth="1"/>
    <col min="5" max="5" width="36" style="2" customWidth="1"/>
    <col min="6" max="16384" width="8.6640625" style="2"/>
  </cols>
  <sheetData>
    <row r="1" spans="1:5" ht="24" customHeight="1">
      <c r="A1" s="28" t="s">
        <v>69</v>
      </c>
      <c r="B1" s="28"/>
      <c r="C1" s="28"/>
      <c r="D1" s="28"/>
      <c r="E1" s="28"/>
    </row>
    <row r="2" spans="1:5" ht="18.75" customHeight="1">
      <c r="A2" s="4" t="s">
        <v>70</v>
      </c>
      <c r="B2" s="4" t="s">
        <v>71</v>
      </c>
      <c r="C2" s="4" t="s">
        <v>72</v>
      </c>
      <c r="D2" s="4" t="s">
        <v>73</v>
      </c>
      <c r="E2" s="4" t="s">
        <v>5</v>
      </c>
    </row>
    <row r="3" spans="1:5" ht="31.5" customHeight="1">
      <c r="A3" s="7" t="s">
        <v>74</v>
      </c>
      <c r="B3" s="15">
        <v>3</v>
      </c>
      <c r="C3" s="15">
        <v>12</v>
      </c>
      <c r="D3" s="15">
        <v>35</v>
      </c>
      <c r="E3" s="9" t="s">
        <v>75</v>
      </c>
    </row>
    <row r="4" spans="1:5" ht="27" customHeight="1">
      <c r="A4" s="7" t="s">
        <v>76</v>
      </c>
      <c r="B4" s="8">
        <v>120000</v>
      </c>
      <c r="C4" s="8">
        <v>120000</v>
      </c>
      <c r="D4" s="8">
        <v>110000</v>
      </c>
      <c r="E4" s="9" t="s">
        <v>77</v>
      </c>
    </row>
    <row r="5" spans="1:5" ht="27" customHeight="1">
      <c r="A5" s="7" t="s">
        <v>78</v>
      </c>
      <c r="B5" s="29">
        <f>B3</f>
        <v>3</v>
      </c>
      <c r="C5" s="29">
        <f>B5+C3</f>
        <v>15</v>
      </c>
      <c r="D5" s="29">
        <f>C5+D3</f>
        <v>50</v>
      </c>
      <c r="E5" s="9" t="s">
        <v>79</v>
      </c>
    </row>
    <row r="6" spans="1:5" ht="31.5" customHeight="1">
      <c r="A6" s="7" t="s">
        <v>80</v>
      </c>
      <c r="B6" s="8">
        <v>4000</v>
      </c>
      <c r="C6" s="8">
        <v>4000</v>
      </c>
      <c r="D6" s="8">
        <v>4500</v>
      </c>
      <c r="E6" s="9" t="s">
        <v>81</v>
      </c>
    </row>
    <row r="7" spans="1:5" ht="31.5" customHeight="1">
      <c r="A7" s="7" t="s">
        <v>82</v>
      </c>
      <c r="B7" s="8">
        <v>0</v>
      </c>
      <c r="C7" s="8">
        <v>300000</v>
      </c>
      <c r="D7" s="8">
        <v>1200000</v>
      </c>
      <c r="E7" s="9" t="s">
        <v>83</v>
      </c>
    </row>
    <row r="8" spans="1:5" ht="18.75" customHeight="1">
      <c r="A8" s="2" t="s">
        <v>84</v>
      </c>
    </row>
    <row r="9" spans="1:5" ht="18.75" customHeight="1">
      <c r="A9" s="7" t="s">
        <v>85</v>
      </c>
      <c r="B9" s="10">
        <f>B3*B4</f>
        <v>360000</v>
      </c>
      <c r="C9" s="10">
        <f>C3*C4</f>
        <v>1440000</v>
      </c>
      <c r="D9" s="10">
        <f>D3*D4</f>
        <v>3850000</v>
      </c>
      <c r="E9" s="9" t="s">
        <v>86</v>
      </c>
    </row>
    <row r="10" spans="1:5" ht="31.5" customHeight="1">
      <c r="A10" s="7" t="s">
        <v>87</v>
      </c>
      <c r="B10" s="10">
        <f>B5*B6*12</f>
        <v>144000</v>
      </c>
      <c r="C10" s="10">
        <f>C5*C6*12</f>
        <v>720000</v>
      </c>
      <c r="D10" s="10">
        <f>D5*D6*12</f>
        <v>2700000</v>
      </c>
      <c r="E10" s="9" t="s">
        <v>88</v>
      </c>
    </row>
    <row r="11" spans="1:5" ht="18.75" customHeight="1">
      <c r="A11" s="7" t="s">
        <v>89</v>
      </c>
      <c r="B11" s="10">
        <f>B7</f>
        <v>0</v>
      </c>
      <c r="C11" s="10">
        <f>C7</f>
        <v>300000</v>
      </c>
      <c r="D11" s="10">
        <f>D7</f>
        <v>1200000</v>
      </c>
      <c r="E11" s="9"/>
    </row>
    <row r="12" spans="1:5" ht="18.75" customHeight="1">
      <c r="A12" s="30" t="s">
        <v>90</v>
      </c>
      <c r="B12" s="14">
        <f>B9+B10+B11</f>
        <v>504000</v>
      </c>
      <c r="C12" s="14">
        <f>C9+C10+C11</f>
        <v>2460000</v>
      </c>
      <c r="D12" s="14">
        <f>D9+D10+D11</f>
        <v>7750000</v>
      </c>
      <c r="E12" s="31"/>
    </row>
    <row r="13" spans="1:5" ht="27" customHeight="1">
      <c r="A13" s="7" t="s">
        <v>91</v>
      </c>
      <c r="B13" s="32">
        <v>0.45</v>
      </c>
      <c r="C13" s="32">
        <v>0.55000000000000004</v>
      </c>
      <c r="D13" s="32">
        <v>0.6</v>
      </c>
      <c r="E13" s="9" t="s">
        <v>92</v>
      </c>
    </row>
    <row r="14" spans="1:5" ht="18.75" customHeight="1">
      <c r="A14" s="7" t="s">
        <v>93</v>
      </c>
      <c r="B14" s="10">
        <f>B12*(1-B13)</f>
        <v>277200</v>
      </c>
      <c r="C14" s="10">
        <f>C12*(1-C13)</f>
        <v>1107000</v>
      </c>
      <c r="D14" s="10">
        <f>D12*(1-D13)</f>
        <v>3100000</v>
      </c>
      <c r="E14" s="9" t="s">
        <v>94</v>
      </c>
    </row>
    <row r="15" spans="1:5" ht="18.75" customHeight="1">
      <c r="A15" s="30" t="s">
        <v>95</v>
      </c>
      <c r="B15" s="14">
        <f>B12-B14</f>
        <v>226800</v>
      </c>
      <c r="C15" s="14">
        <f>C12-C14</f>
        <v>1353000</v>
      </c>
      <c r="D15" s="14">
        <f>D12-D14</f>
        <v>4650000</v>
      </c>
      <c r="E15" s="31"/>
    </row>
    <row r="16" spans="1:5" ht="18.75" customHeight="1">
      <c r="A16" s="7" t="s">
        <v>96</v>
      </c>
      <c r="B16" s="8">
        <v>2400000</v>
      </c>
      <c r="C16" s="8">
        <v>3600000</v>
      </c>
      <c r="D16" s="8">
        <v>5400000</v>
      </c>
      <c r="E16" s="9" t="s">
        <v>97</v>
      </c>
    </row>
    <row r="17" spans="1:5" ht="18.75" customHeight="1">
      <c r="A17" s="7" t="s">
        <v>98</v>
      </c>
      <c r="B17" s="8">
        <v>1200000</v>
      </c>
      <c r="C17" s="8">
        <v>1800000</v>
      </c>
      <c r="D17" s="8">
        <v>2400000</v>
      </c>
      <c r="E17" s="9" t="s">
        <v>99</v>
      </c>
    </row>
    <row r="18" spans="1:5" ht="18.75" customHeight="1">
      <c r="A18" s="7" t="s">
        <v>100</v>
      </c>
      <c r="B18" s="8">
        <v>600000</v>
      </c>
      <c r="C18" s="8">
        <v>900000</v>
      </c>
      <c r="D18" s="8">
        <v>1200000</v>
      </c>
      <c r="E18" s="9" t="s">
        <v>101</v>
      </c>
    </row>
    <row r="19" spans="1:5" ht="18.75" customHeight="1">
      <c r="A19" s="24" t="s">
        <v>102</v>
      </c>
      <c r="B19" s="33">
        <f>SUM(B16:B18)</f>
        <v>4200000</v>
      </c>
      <c r="C19" s="33">
        <f>SUM(C16:C18)</f>
        <v>6300000</v>
      </c>
      <c r="D19" s="33">
        <f>SUM(D16:D18)</f>
        <v>9000000</v>
      </c>
      <c r="E19" s="9"/>
    </row>
    <row r="20" spans="1:5" ht="18.75" customHeight="1">
      <c r="A20" s="34" t="s">
        <v>103</v>
      </c>
      <c r="B20" s="35">
        <f>B15-B19</f>
        <v>-3973200</v>
      </c>
      <c r="C20" s="35">
        <f>C15-C19</f>
        <v>-4947000</v>
      </c>
      <c r="D20" s="35">
        <f>D15-D19</f>
        <v>-4350000</v>
      </c>
      <c r="E20" s="36"/>
    </row>
    <row r="21" spans="1:5" ht="18.75" customHeight="1">
      <c r="A21" s="7" t="s">
        <v>104</v>
      </c>
      <c r="B21" s="26">
        <f>IFERROR(B20/B12,"")</f>
        <v>-7.8833333333333337</v>
      </c>
      <c r="C21" s="26">
        <f>IFERROR(C20/C12,"")</f>
        <v>-2.0109756097560973</v>
      </c>
      <c r="D21" s="26">
        <f>IFERROR(D20/D12,"")</f>
        <v>-0.56129032258064515</v>
      </c>
      <c r="E21" s="9"/>
    </row>
    <row r="23" spans="1:5" ht="42" customHeight="1">
      <c r="A23" s="19" t="s">
        <v>144</v>
      </c>
      <c r="B23" s="19"/>
      <c r="C23" s="19"/>
      <c r="D23" s="19"/>
      <c r="E23" s="19"/>
    </row>
  </sheetData>
  <mergeCells count="2">
    <mergeCell ref="A1:E1"/>
    <mergeCell ref="A23:E23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showGridLines="0" tabSelected="1" zoomScaleNormal="100" workbookViewId="0">
      <selection activeCell="G9" sqref="G9"/>
    </sheetView>
  </sheetViews>
  <sheetFormatPr baseColWidth="10" defaultColWidth="8.6640625" defaultRowHeight="14"/>
  <cols>
    <col min="1" max="1" width="46" style="2" customWidth="1"/>
    <col min="2" max="10" width="12" style="2" customWidth="1"/>
    <col min="11" max="16384" width="8.6640625" style="2"/>
  </cols>
  <sheetData>
    <row r="1" spans="1:10" ht="4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19" t="s">
        <v>146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1.5" customHeight="1">
      <c r="A3" s="37" t="s">
        <v>106</v>
      </c>
      <c r="E3" s="38">
        <v>100000</v>
      </c>
    </row>
    <row r="4" spans="1:10" ht="31.5" customHeight="1">
      <c r="A4" s="37" t="s">
        <v>107</v>
      </c>
      <c r="E4" s="39">
        <v>10</v>
      </c>
    </row>
    <row r="5" spans="1:10" ht="18.75" customHeight="1">
      <c r="A5" s="37" t="s">
        <v>108</v>
      </c>
      <c r="E5" s="38">
        <v>30000</v>
      </c>
    </row>
    <row r="6" spans="1:10" ht="31.5" customHeight="1">
      <c r="A6" s="37" t="s">
        <v>109</v>
      </c>
      <c r="E6" s="39">
        <v>10</v>
      </c>
    </row>
    <row r="7" spans="1:10" ht="31.5" customHeight="1">
      <c r="A7" s="37" t="s">
        <v>110</v>
      </c>
      <c r="E7" s="40">
        <v>0.2</v>
      </c>
    </row>
    <row r="8" spans="1:10" ht="18.75" customHeight="1">
      <c r="A8" s="37" t="s">
        <v>111</v>
      </c>
      <c r="E8" s="38">
        <v>40000</v>
      </c>
    </row>
    <row r="9" spans="1:10" ht="31.5" customHeight="1">
      <c r="A9" s="37" t="s">
        <v>112</v>
      </c>
      <c r="E9" s="39">
        <v>50</v>
      </c>
    </row>
    <row r="10" spans="1:10" ht="18.75" customHeight="1">
      <c r="A10" s="37" t="s">
        <v>113</v>
      </c>
      <c r="E10" s="38">
        <v>50000</v>
      </c>
    </row>
    <row r="11" spans="1:10" ht="31.5" customHeight="1">
      <c r="A11" s="37" t="s">
        <v>114</v>
      </c>
      <c r="E11" s="39">
        <v>120</v>
      </c>
    </row>
    <row r="12" spans="1:10" ht="18.75" customHeight="1">
      <c r="A12" s="37" t="s">
        <v>115</v>
      </c>
      <c r="E12" s="41">
        <v>3</v>
      </c>
    </row>
    <row r="13" spans="1:10" ht="18.75" customHeight="1">
      <c r="A13" s="37" t="s">
        <v>116</v>
      </c>
      <c r="E13" s="39">
        <v>10</v>
      </c>
    </row>
    <row r="16" spans="1:10" ht="31.5" customHeight="1">
      <c r="A16" s="4" t="s">
        <v>70</v>
      </c>
      <c r="B16" s="42" t="s">
        <v>117</v>
      </c>
      <c r="C16" s="42"/>
      <c r="D16" s="42" t="s">
        <v>118</v>
      </c>
      <c r="E16" s="42"/>
      <c r="F16" s="43" t="s">
        <v>119</v>
      </c>
      <c r="G16" s="43"/>
      <c r="H16" s="43" t="s">
        <v>120</v>
      </c>
      <c r="I16" s="43"/>
    </row>
    <row r="17" spans="1:10" ht="31.5" customHeight="1">
      <c r="A17" s="44"/>
      <c r="B17" s="4" t="s">
        <v>121</v>
      </c>
      <c r="C17" s="3" t="s">
        <v>122</v>
      </c>
      <c r="D17" s="4" t="s">
        <v>121</v>
      </c>
      <c r="E17" s="3" t="s">
        <v>122</v>
      </c>
      <c r="F17" s="4" t="s">
        <v>121</v>
      </c>
      <c r="G17" s="3" t="s">
        <v>122</v>
      </c>
      <c r="H17" s="4" t="s">
        <v>121</v>
      </c>
      <c r="I17" s="3" t="s">
        <v>122</v>
      </c>
    </row>
    <row r="18" spans="1:10" ht="18.75" customHeight="1">
      <c r="A18" s="24" t="s">
        <v>123</v>
      </c>
      <c r="B18" s="45">
        <f>$E$3</f>
        <v>100000</v>
      </c>
      <c r="C18" s="26">
        <f t="shared" ref="C18:C23" si="0">IFERROR(B18/B$24,"")</f>
        <v>1</v>
      </c>
      <c r="D18" s="45">
        <f>$E$3</f>
        <v>100000</v>
      </c>
      <c r="E18" s="26">
        <f t="shared" ref="E18:E23" si="1">IFERROR(D18/D$24,"")</f>
        <v>0.76923076923076927</v>
      </c>
      <c r="F18" s="45">
        <f>$E$3</f>
        <v>100000</v>
      </c>
      <c r="G18" s="26">
        <f t="shared" ref="G18:G23" si="2">IFERROR(F18/F$24,"")</f>
        <v>0.58823529411764708</v>
      </c>
      <c r="H18" s="45">
        <f>$E$3</f>
        <v>100000</v>
      </c>
      <c r="I18" s="26">
        <f t="shared" ref="I18:I23" si="3">IFERROR(H18/H$24,"")</f>
        <v>0.45454545454545453</v>
      </c>
    </row>
    <row r="19" spans="1:10" ht="18.75" customHeight="1">
      <c r="A19" s="24" t="s">
        <v>118</v>
      </c>
      <c r="B19" s="45">
        <v>0</v>
      </c>
      <c r="C19" s="26">
        <f t="shared" si="0"/>
        <v>0</v>
      </c>
      <c r="D19" s="45">
        <f>$E$5</f>
        <v>30000</v>
      </c>
      <c r="E19" s="26">
        <f t="shared" si="1"/>
        <v>0.23076923076923078</v>
      </c>
      <c r="F19" s="45">
        <f>$E$5</f>
        <v>30000</v>
      </c>
      <c r="G19" s="26">
        <f t="shared" si="2"/>
        <v>0.17647058823529413</v>
      </c>
      <c r="H19" s="45">
        <f>$E$5</f>
        <v>30000</v>
      </c>
      <c r="I19" s="26">
        <f t="shared" si="3"/>
        <v>0.13636363636363635</v>
      </c>
    </row>
    <row r="20" spans="1:10" ht="18.75" customHeight="1">
      <c r="A20" s="7" t="s">
        <v>124</v>
      </c>
      <c r="B20" s="45">
        <v>0</v>
      </c>
      <c r="C20" s="26">
        <f t="shared" si="0"/>
        <v>0</v>
      </c>
      <c r="D20" s="45">
        <f>$E$5*$E$7</f>
        <v>6000</v>
      </c>
      <c r="E20" s="26">
        <f t="shared" si="1"/>
        <v>4.6153846153846156E-2</v>
      </c>
      <c r="F20" s="45">
        <f>$E$5*$E$7</f>
        <v>6000</v>
      </c>
      <c r="G20" s="26">
        <f t="shared" si="2"/>
        <v>3.5294117647058823E-2</v>
      </c>
      <c r="H20" s="45">
        <f>$E$5*$E$7</f>
        <v>6000</v>
      </c>
      <c r="I20" s="26">
        <f t="shared" si="3"/>
        <v>2.7272727272727271E-2</v>
      </c>
    </row>
    <row r="21" spans="1:10" ht="18.75" customHeight="1">
      <c r="A21" s="7" t="s">
        <v>125</v>
      </c>
      <c r="B21" s="45">
        <v>0</v>
      </c>
      <c r="C21" s="26">
        <f t="shared" si="0"/>
        <v>0</v>
      </c>
      <c r="D21" s="45">
        <f>$E$5*(1-$E$7)</f>
        <v>24000</v>
      </c>
      <c r="E21" s="26">
        <f t="shared" si="1"/>
        <v>0.18461538461538463</v>
      </c>
      <c r="F21" s="45">
        <f>$E$5*(1-$E$7)</f>
        <v>24000</v>
      </c>
      <c r="G21" s="26">
        <f t="shared" si="2"/>
        <v>0.14117647058823529</v>
      </c>
      <c r="H21" s="45">
        <f>$E$5*(1-$E$7)</f>
        <v>24000</v>
      </c>
      <c r="I21" s="26">
        <f t="shared" si="3"/>
        <v>0.10909090909090909</v>
      </c>
    </row>
    <row r="22" spans="1:10" ht="18.75" customHeight="1">
      <c r="A22" s="24" t="s">
        <v>119</v>
      </c>
      <c r="B22" s="45">
        <v>0</v>
      </c>
      <c r="C22" s="26">
        <f t="shared" si="0"/>
        <v>0</v>
      </c>
      <c r="D22" s="45">
        <v>0</v>
      </c>
      <c r="E22" s="26">
        <f t="shared" si="1"/>
        <v>0</v>
      </c>
      <c r="F22" s="45">
        <f>$E$8</f>
        <v>40000</v>
      </c>
      <c r="G22" s="26">
        <f t="shared" si="2"/>
        <v>0.23529411764705882</v>
      </c>
      <c r="H22" s="45">
        <f>$E$8</f>
        <v>40000</v>
      </c>
      <c r="I22" s="26">
        <f t="shared" si="3"/>
        <v>0.18181818181818182</v>
      </c>
    </row>
    <row r="23" spans="1:10" ht="18.75" customHeight="1">
      <c r="A23" s="24" t="s">
        <v>120</v>
      </c>
      <c r="B23" s="45">
        <v>0</v>
      </c>
      <c r="C23" s="26">
        <f t="shared" si="0"/>
        <v>0</v>
      </c>
      <c r="D23" s="45">
        <v>0</v>
      </c>
      <c r="E23" s="26">
        <f t="shared" si="1"/>
        <v>0</v>
      </c>
      <c r="F23" s="45">
        <v>0</v>
      </c>
      <c r="G23" s="26">
        <f t="shared" si="2"/>
        <v>0</v>
      </c>
      <c r="H23" s="45">
        <f>$E$10</f>
        <v>50000</v>
      </c>
      <c r="I23" s="26">
        <f t="shared" si="3"/>
        <v>0.22727272727272727</v>
      </c>
    </row>
    <row r="24" spans="1:10" ht="18.75" customHeight="1">
      <c r="A24" s="46" t="s">
        <v>126</v>
      </c>
      <c r="B24" s="47">
        <f>B18+B19+B22+B23</f>
        <v>100000</v>
      </c>
      <c r="C24" s="48">
        <f>1</f>
        <v>1</v>
      </c>
      <c r="D24" s="47">
        <f>D18+D19+D22+D23</f>
        <v>130000</v>
      </c>
      <c r="E24" s="48">
        <f>1</f>
        <v>1</v>
      </c>
      <c r="F24" s="47">
        <f>F18+F19+F22+F23</f>
        <v>170000</v>
      </c>
      <c r="G24" s="48">
        <f>1</f>
        <v>1</v>
      </c>
      <c r="H24" s="47">
        <f>H18+H19+H22+H23</f>
        <v>220000</v>
      </c>
      <c r="I24" s="48">
        <f>1</f>
        <v>1</v>
      </c>
    </row>
    <row r="25" spans="1:10" ht="18.75" customHeight="1">
      <c r="A25" s="7" t="s">
        <v>127</v>
      </c>
      <c r="B25" s="49">
        <f>$E$4</f>
        <v>10</v>
      </c>
      <c r="C25" s="50"/>
      <c r="D25" s="49">
        <f>$E$6</f>
        <v>10</v>
      </c>
      <c r="E25" s="50"/>
      <c r="F25" s="49">
        <f>$E$9</f>
        <v>50</v>
      </c>
      <c r="G25" s="50"/>
      <c r="H25" s="49">
        <f>$E$11</f>
        <v>120</v>
      </c>
      <c r="I25" s="50"/>
    </row>
    <row r="26" spans="1:10" ht="31.5" customHeight="1">
      <c r="A26" s="7" t="s">
        <v>128</v>
      </c>
      <c r="B26" s="10">
        <f>B24*$E$13</f>
        <v>1000000</v>
      </c>
      <c r="C26" s="50"/>
      <c r="D26" s="10">
        <f>D24*$E$13</f>
        <v>1300000</v>
      </c>
      <c r="E26" s="50"/>
      <c r="F26" s="10">
        <f>F24*$E$13</f>
        <v>1700000</v>
      </c>
      <c r="G26" s="50"/>
      <c r="H26" s="10">
        <f>H24*$E$13</f>
        <v>2200000</v>
      </c>
      <c r="I26" s="50"/>
    </row>
    <row r="27" spans="1:10" ht="31.5" customHeight="1">
      <c r="A27" s="7" t="s">
        <v>129</v>
      </c>
      <c r="B27" s="10">
        <f>B24*$E$4</f>
        <v>1000000</v>
      </c>
      <c r="C27" s="50"/>
      <c r="D27" s="10">
        <f>D24*$E$6</f>
        <v>1300000</v>
      </c>
      <c r="E27" s="50"/>
      <c r="F27" s="10">
        <f>F24*$E$9</f>
        <v>8500000</v>
      </c>
      <c r="G27" s="50"/>
      <c r="H27" s="10">
        <f>H24*$E$11</f>
        <v>26400000</v>
      </c>
      <c r="I27" s="50"/>
    </row>
    <row r="28" spans="1:10" ht="18.75" customHeight="1">
      <c r="A28" s="7" t="s">
        <v>130</v>
      </c>
      <c r="B28" s="10">
        <f>$E$3*$E$4</f>
        <v>1000000</v>
      </c>
      <c r="C28" s="50"/>
      <c r="D28" s="10">
        <f>$E$5*$E$6</f>
        <v>300000</v>
      </c>
      <c r="E28" s="50"/>
      <c r="F28" s="10">
        <f>$E$8*$E$9</f>
        <v>2000000</v>
      </c>
      <c r="G28" s="50"/>
      <c r="H28" s="10">
        <f>$E$10*$E$11</f>
        <v>6000000</v>
      </c>
      <c r="I28" s="50"/>
    </row>
    <row r="29" spans="1:10" ht="18.75" customHeight="1">
      <c r="A29" s="34" t="s">
        <v>131</v>
      </c>
      <c r="B29" s="35">
        <f>B28</f>
        <v>1000000</v>
      </c>
      <c r="C29" s="51"/>
      <c r="D29" s="35">
        <f>B28+D28</f>
        <v>1300000</v>
      </c>
      <c r="E29" s="51"/>
      <c r="F29" s="35">
        <f>B28+D28+F28</f>
        <v>3300000</v>
      </c>
      <c r="G29" s="51"/>
      <c r="H29" s="35">
        <f>B28+D28+F28+H28</f>
        <v>9300000</v>
      </c>
      <c r="I29" s="51"/>
    </row>
    <row r="30" spans="1:10" ht="30" customHeight="1">
      <c r="A30" s="19" t="s">
        <v>145</v>
      </c>
      <c r="B30" s="19"/>
      <c r="C30" s="19"/>
      <c r="D30" s="19"/>
      <c r="E30" s="19"/>
      <c r="F30" s="19"/>
      <c r="G30" s="19"/>
      <c r="H30" s="19"/>
      <c r="I30" s="19"/>
      <c r="J30" s="19"/>
    </row>
    <row r="32" spans="1:10" ht="31.5" customHeight="1">
      <c r="A32" s="52" t="s">
        <v>132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ht="58.5" customHeight="1">
      <c r="A33" s="4" t="s">
        <v>133</v>
      </c>
      <c r="B33" s="3" t="s">
        <v>134</v>
      </c>
      <c r="C33" s="3" t="s">
        <v>135</v>
      </c>
      <c r="D33" s="43" t="s">
        <v>5</v>
      </c>
      <c r="E33" s="43"/>
      <c r="F33" s="43"/>
      <c r="G33" s="43"/>
      <c r="H33" s="43"/>
      <c r="I33" s="43"/>
      <c r="J33" s="43"/>
    </row>
    <row r="34" spans="1:10" ht="30" customHeight="1">
      <c r="A34" s="7" t="s">
        <v>136</v>
      </c>
      <c r="B34" s="45">
        <f>($E$3+$E$5*(1-$E$7))/$E$12</f>
        <v>41333.333333333336</v>
      </c>
      <c r="C34" s="26">
        <f>IFERROR(B34/H$24,"")</f>
        <v>0.1878787878787879</v>
      </c>
      <c r="D34" s="53" t="s">
        <v>137</v>
      </c>
      <c r="E34" s="53"/>
      <c r="F34" s="53"/>
      <c r="G34" s="53"/>
      <c r="H34" s="53"/>
      <c r="I34" s="53"/>
      <c r="J34" s="53"/>
    </row>
    <row r="35" spans="1:10" ht="30" customHeight="1">
      <c r="A35" s="7" t="s">
        <v>138</v>
      </c>
      <c r="B35" s="45">
        <f>($E$3+$E$5*(1-$E$7))/$E$12</f>
        <v>41333.333333333336</v>
      </c>
      <c r="C35" s="26">
        <f>IFERROR(B35/H$24,"")</f>
        <v>0.1878787878787879</v>
      </c>
      <c r="D35" s="53" t="s">
        <v>137</v>
      </c>
      <c r="E35" s="53"/>
      <c r="F35" s="53"/>
      <c r="G35" s="53"/>
      <c r="H35" s="53"/>
      <c r="I35" s="53"/>
      <c r="J35" s="53"/>
    </row>
    <row r="36" spans="1:10" ht="30" customHeight="1">
      <c r="A36" s="7" t="s">
        <v>139</v>
      </c>
      <c r="B36" s="45">
        <f>($E$3+$E$5*(1-$E$7))/$E$12</f>
        <v>41333.333333333336</v>
      </c>
      <c r="C36" s="26">
        <f>IFERROR(B36/H$24,"")</f>
        <v>0.1878787878787879</v>
      </c>
      <c r="D36" s="53" t="s">
        <v>137</v>
      </c>
      <c r="E36" s="53"/>
      <c r="F36" s="53"/>
      <c r="G36" s="53"/>
      <c r="H36" s="53"/>
      <c r="I36" s="53"/>
      <c r="J36" s="53"/>
    </row>
    <row r="37" spans="1:10" ht="30" customHeight="1">
      <c r="A37" s="46" t="s">
        <v>140</v>
      </c>
      <c r="B37" s="47">
        <f>SUM(B34:B36)</f>
        <v>124000</v>
      </c>
      <c r="C37" s="48">
        <f>IFERROR(B37/H$24,"")</f>
        <v>0.5636363636363636</v>
      </c>
      <c r="D37" s="54" t="s">
        <v>141</v>
      </c>
      <c r="E37" s="54"/>
      <c r="F37" s="54"/>
      <c r="G37" s="54"/>
      <c r="H37" s="54"/>
      <c r="I37" s="54"/>
      <c r="J37" s="54"/>
    </row>
  </sheetData>
  <mergeCells count="13">
    <mergeCell ref="D36:J36"/>
    <mergeCell ref="D37:J37"/>
    <mergeCell ref="A30:J30"/>
    <mergeCell ref="A32:J32"/>
    <mergeCell ref="D33:J33"/>
    <mergeCell ref="D34:J34"/>
    <mergeCell ref="D35:J35"/>
    <mergeCell ref="A1:J1"/>
    <mergeCell ref="A2:J2"/>
    <mergeCell ref="B16:C16"/>
    <mergeCell ref="D16:E16"/>
    <mergeCell ref="F16:G16"/>
    <mergeCell ref="H16:I16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Expense Forecast</vt:lpstr>
      <vt:lpstr>Burn Rate Forecast</vt:lpstr>
      <vt:lpstr>3-Year P&amp;L</vt:lpstr>
      <vt:lpstr>Equity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以佳 方</cp:lastModifiedBy>
  <cp:revision>0</cp:revision>
  <dcterms:created xsi:type="dcterms:W3CDTF">2026-06-23T20:50:43Z</dcterms:created>
  <dcterms:modified xsi:type="dcterms:W3CDTF">2026-09-24T06:59:28Z</dcterms:modified>
  <dc:language>en-US</dc:language>
</cp:coreProperties>
</file>