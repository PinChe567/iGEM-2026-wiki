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0bac5803274c27" /></Relationships>
</file>

<file path=xl/workbook.xml><?xml version="1.0" encoding="utf-8"?>
<x:workbook xmlns:x="http://schemas.openxmlformats.org/spreadsheetml/2006/main">
  <x:sheets>
    <x:sheet xmlns:r="http://schemas.openxmlformats.org/officeDocument/2006/relationships" name="Summary" sheetId="1" r:id="R9e9175370b694c38"/>
    <x:sheet xmlns:r="http://schemas.openxmlformats.org/officeDocument/2006/relationships" name="Printed" sheetId="2" r:id="R068484b040374128"/>
    <x:sheet xmlns:r="http://schemas.openxmlformats.org/officeDocument/2006/relationships" name="Purchase" sheetId="3" r:id="R89dcc9b1600345ae"/>
    <x:sheet xmlns:r="http://schemas.openxmlformats.org/officeDocument/2006/relationships" name="PCB" sheetId="4" r:id="R88136c53a464460c"/>
    <x:sheet xmlns:r="http://schemas.openxmlformats.org/officeDocument/2006/relationships" name="Print_batches" sheetId="5" r:id="R4d6967980d8d4867"/>
    <x:sheet xmlns:r="http://schemas.openxmlformats.org/officeDocument/2006/relationships" name="Notes" sheetId="6" r:id="R888177e068c145e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00);0.00"/>
    <x:numFmt numFmtId="201" formatCode="&quot;$&quot;#,##0.00;(&quot;$&quot;#,##0.00);&quot;$&quot;0.00"/>
    <x:numFmt numFmtId="202" formatCode="0.000"/>
    <x:numFmt numFmtId="203" formatCode="&quot;$&quot;0.000000"/>
    <x:numFmt numFmtId="204" formatCode="0"/>
  </x:numFmts>
  <x:fonts count="8">
    <x:font>
      <x:sz val="11"/>
      <x:name val="Carlito"/>
    </x:font>
    <x:font>
      <x:sz val="10"/>
      <x:color rgb="FF243746"/>
      <x:name val="Microsoft JhengHei"/>
    </x:font>
    <x:font>
      <x:b/>
      <x:sz val="15"/>
      <x:color rgb="FF243746"/>
      <x:name val="Microsoft JhengHei"/>
    </x:font>
    <x:font>
      <x:sz val="9"/>
      <x:color rgb="FF637585"/>
      <x:name val="Microsoft JhengHei"/>
    </x:font>
    <x:font>
      <x:b/>
      <x:sz val="10"/>
      <x:color rgb="FFFFFFFF"/>
      <x:name val="Microsoft JhengHei"/>
    </x:font>
    <x:font>
      <x:b/>
      <x:sz val="10"/>
      <x:color rgb="FF243746"/>
      <x:name val="Microsoft JhengHei"/>
    </x:font>
    <x:font>
      <x:b/>
      <x:sz val="14"/>
      <x:color rgb="FF263D50"/>
      <x:name val="Microsoft JhengHei"/>
    </x:font>
    <x:font>
      <x:b/>
      <x:sz val="10"/>
      <x:color rgb="FF263D50"/>
      <x:name val="Microsoft JhengHei"/>
    </x:font>
  </x:fonts>
  <x:fills count="9">
    <x:fill>
      <x:patternFill patternType="none"/>
    </x:fill>
    <x:fill>
      <x:patternFill patternType="gray125"/>
    </x:fill>
    <x:fill>
      <x:patternFill patternType="solid">
        <x:fgColor rgb="FF263D50"/>
      </x:patternFill>
    </x:fill>
    <x:fill>
      <x:patternFill patternType="solid">
        <x:fgColor rgb="FFFFF2CC"/>
      </x:patternFill>
    </x:fill>
    <x:fill>
      <x:patternFill patternType="solid">
        <x:fgColor rgb="FFE9EFF3"/>
      </x:patternFill>
    </x:fill>
    <x:fill>
      <x:patternFill patternType="solid">
        <x:fgColor rgb="FFFFF2CC"/>
      </x:patternFill>
    </x:fill>
    <x:fill>
      <x:patternFill patternType="solid">
        <x:fgColor rgb="FF263D50"/>
      </x:patternFill>
    </x:fill>
    <x:fill>
      <x:patternFill patternType="solid">
        <x:fgColor rgb="FF263D50"/>
      </x:patternFill>
    </x:fill>
    <x:fill>
      <x:patternFill patternType="solid">
        <x:fgColor rgb="FFDFE8EE"/>
      </x:patternFill>
    </x:fill>
  </x:fills>
  <x:borders count="1">
    <x:border/>
  </x:borders>
  <x:cellStyleXfs count="1">
    <x:xf numFmtId="0" fontId="0" fillId="0" borderId="0"/>
  </x:cellStyleXfs>
  <x:cellXfs count="3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1"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200" fontId="5"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201" fontId="1" fillId="5" borderId="0" xfId="0" applyNumberFormat="1" applyFont="1" applyFill="1" applyBorder="1" applyAlignment="1">
      <x:alignment vertical="center" wrapText="1"/>
    </x:xf>
    <x:xf numFmtId="202" fontId="1" fillId="4"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4" fillId="6" borderId="0" xfId="0" applyNumberFormat="1" applyFont="1" applyFill="1" applyBorder="1" applyAlignment="1">
      <x:alignment horizontal="center" vertical="center" wrapText="1"/>
    </x:xf>
    <x:xf numFmtId="201" fontId="1" fillId="0" borderId="0" xfId="0" applyNumberFormat="1" applyFont="1" applyFill="1" applyBorder="1" applyAlignment="1">
      <x:alignment vertical="center" wrapText="1"/>
    </x:xf>
    <x:xf numFmtId="203" fontId="1" fillId="5" borderId="0" xfId="0" applyNumberFormat="1" applyFont="1" applyFill="1" applyBorder="1" applyAlignment="1">
      <x:alignment vertical="center" wrapText="1"/>
    </x:xf>
    <x:xf numFmtId="201" fontId="5"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0" xfId="0" applyNumberFormat="1" applyFont="1" applyFill="1" applyBorder="1" applyAlignment="1">
      <x:alignment vertical="center" wrapText="1"/>
    </x:xf>
    <x:xf numFmtId="0" fontId="1" fillId="8"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975a5080f343f5" /><Relationship Type="http://schemas.openxmlformats.org/officeDocument/2006/relationships/theme" Target="/xl/theme/theme1.xml" Id="R81a67802a2104edf" /><Relationship Type="http://schemas.openxmlformats.org/officeDocument/2006/relationships/sharedStrings" Target="/xl/sharedStrings.xml" Id="R01270644303948ee" /><Relationship Type="http://schemas.openxmlformats.org/officeDocument/2006/relationships/worksheet" Target="/xl/worksheets/sheet1.xml" Id="R9e9175370b694c38" /><Relationship Type="http://schemas.openxmlformats.org/officeDocument/2006/relationships/worksheet" Target="/xl/worksheets/sheet2.xml" Id="R068484b040374128" /><Relationship Type="http://schemas.openxmlformats.org/officeDocument/2006/relationships/worksheet" Target="/xl/worksheets/sheet3.xml" Id="R89dcc9b1600345ae" /><Relationship Type="http://schemas.openxmlformats.org/officeDocument/2006/relationships/worksheet" Target="/xl/worksheets/sheet4.xml" Id="R88136c53a464460c" /><Relationship Type="http://schemas.openxmlformats.org/officeDocument/2006/relationships/worksheet" Target="/xl/worksheets/sheet5.xml" Id="R4d6967980d8d4867" /><Relationship Type="http://schemas.openxmlformats.org/officeDocument/2006/relationships/worksheet" Target="/xl/worksheets/sheet6.xml" Id="R888177e068c145e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6" hidden="0" customWidth="1"/>
    <x:col min="2" max="2" width="20" hidden="0" customWidth="1"/>
    <x:col min="3" max="3" width="3" hidden="0" customWidth="1"/>
    <x:col min="4" max="4" width="4" hidden="0" customWidth="1"/>
    <x:col min="5" max="5" width="38" hidden="0" customWidth="1"/>
    <x:col min="6" max="6" width="23" hidden="0" customWidth="1"/>
    <x:col min="7" max="7" width="4" hidden="0" customWidth="1"/>
    <x:col min="8" max="8" width="46" hidden="0" customWidth="1"/>
  </x:cols>
  <x:sheetData>
    <x:row r="1" ht="28" customHeight="1">
      <x:c r="A1" s="2"/>
      <x:c r="B1" s="2"/>
      <x:c r="C1" s="2"/>
      <x:c r="D1" s="2"/>
      <x:c r="E1" s="2"/>
      <x:c r="F1" s="2"/>
      <x:c r="G1" s="2"/>
      <x:c r="H1" s="2"/>
    </x:row>
    <x:row r="2" ht="28" customHeight="1">
      <x:c r="A2" s="3" t="str">
        <x:v>AeroSense materials and cost (USD)</x:v>
      </x:c>
      <x:c r="B2" s="2"/>
      <x:c r="C2" s="2"/>
      <x:c r="D2" s="2"/>
      <x:c r="E2" s="2"/>
      <x:c r="F2" s="2"/>
      <x:c r="G2" s="2"/>
      <x:c r="H2" s="2"/>
    </x:row>
    <x:row r="3" ht="28" customHeight="1">
      <x:c r="A3" s="4" t="str">
        <x:v>All cost inputs and totals in USD. Original quotation currencies are retained in source notes.</x:v>
      </x:c>
      <x:c r="B3" s="2"/>
      <x:c r="C3" s="2"/>
      <x:c r="D3" s="2"/>
      <x:c r="E3" s="2"/>
      <x:c r="F3" s="2"/>
      <x:c r="G3" s="2"/>
      <x:c r="H3" s="2"/>
    </x:row>
    <x:row r="4" ht="48" customHeight="1">
      <x:c r="A4" s="8" t="str">
        <x:v>Item</x:v>
      </x:c>
      <x:c r="B4" s="8" t="str">
        <x:v>USD</x:v>
      </x:c>
      <x:c r="C4"/>
      <x:c r="D4" s="2"/>
      <x:c r="E4" s="10" t="str">
        <x:v>Input</x:v>
      </x:c>
      <x:c r="F4" s="10" t="str">
        <x:v>Value</x:v>
      </x:c>
      <x:c r="G4" s="2"/>
      <x:c r="H4" s="2"/>
    </x:row>
    <x:row r="5" ht="165" customHeight="1">
      <x:c r="A5" s="10" t="str">
        <x:v>Required printing</x:v>
      </x:c>
      <x:c r="B5" s="24" t="n">
        <x:f>IF(ISNUMBER(Print_batches!K8),Print_batches!K8,"Unconfirmed")</x:f>
        <x:v>35.06950479484358</x:v>
      </x:c>
      <x:c r="C5"/>
      <x:c r="D5" s="2"/>
      <x:c r="E5" s="10" t="str">
        <x:v>Conversion snapshot: NTD per USD</x:v>
      </x:c>
      <x:c r="F5" s="20" t="n">
        <x:v>31.805</x:v>
      </x:c>
      <x:c r="G5" s="2"/>
      <x:c r="H5" s="10" t="str">
        <x:v>Retained budget FX: 1 USD = 31.805 NTD, 2026-10-05 15:13; recorded 2026-10-08. Source quote: NTD 131,250 / 2 boards. Fixed USD inputs; changing this snapshot label does not reprice them.
https://www.bot.com.tw/tw/personal-banking/foreign-exchange</x:v>
      </x:c>
    </x:row>
    <x:row r="6" ht="46" customHeight="1">
      <x:c r="A6" s="10" t="str">
        <x:v>Required purchases at used quantity</x:v>
      </x:c>
      <x:c r="B6" s="24" t="n">
        <x:f>IF(COUNTIFS(Purchase!G5:G30,"Required",Purchase!R5:R30,"OK")=COUNTIF(Purchase!G5:G30,"Required"),SUMIFS(Purchase!K5:K30,Purchase!G5:G30,"Required"),"Unconfirmed")</x:f>
        <x:v>412.9352365980192</x:v>
      </x:c>
      <x:c r="C6"/>
      <x:c r="D6" s="2"/>
      <x:c r="E6" s="10" t="str">
        <x:v>PCB quote for two (USD)</x:v>
      </x:c>
      <x:c r="F6" s="19" t="n">
        <x:v>4126.709636849552</x:v>
      </x:c>
      <x:c r="G6" s="2"/>
      <x:c r="H6" s="2"/>
    </x:row>
    <x:row r="7" ht="46" customHeight="1">
      <x:c r="A7" s="15" t="str">
        <x:v>Required budget excluding PCB</x:v>
      </x:c>
      <x:c r="B7" s="26" t="n">
        <x:f>IF(COUNT(B5:B6)=2,SUM(B5:B6),"Unconfirmed")</x:f>
        <x:v>448.00474139286274</x:v>
      </x:c>
      <x:c r="C7"/>
      <x:c r="D7" s="2"/>
      <x:c r="E7" s="10" t="str">
        <x:v>Quoted board count</x:v>
      </x:c>
      <x:c r="F7" s="18" t="n">
        <x:v>2</x:v>
      </x:c>
      <x:c r="G7" s="2"/>
      <x:c r="H7" s="2"/>
    </x:row>
    <x:row r="8" ht="46" customHeight="1">
      <x:c r="A8" s="10" t="str">
        <x:v>PCB allocation from this quote</x:v>
      </x:c>
      <x:c r="B8" s="24" t="n">
        <x:f>IF(AND(ISNUMBER($F$6),$F$6&gt;=0,ISNUMBER($F$7),$F$7&gt;0),$F$6/$F$7,"Unconfirmed")</x:f>
        <x:v>2063.354818424776</x:v>
      </x:c>
      <x:c r="C8"/>
      <x:c r="D8" s="2"/>
      <x:c r="E8" s="10" t="str">
        <x:v>FX snapshot date</x:v>
      </x:c>
      <x:c r="F8" s="10" t="str">
        <x:v>2026-10-05 15:13</x:v>
      </x:c>
      <x:c r="G8" s="2"/>
      <x:c r="H8" s="2"/>
    </x:row>
    <x:row r="9" ht="46" customHeight="1">
      <x:c r="A9" s="15" t="str">
        <x:v>Required device budget</x:v>
      </x:c>
      <x:c r="B9" s="26" t="n">
        <x:f>IF(COUNT(B7:B8)=2,SUM(B7:B8),"Unconfirmed")</x:f>
        <x:v>2511.359559817639</x:v>
      </x:c>
      <x:c r="C9"/>
      <x:c r="D9" s="2"/>
      <x:c r="E9" s="2"/>
      <x:c r="F9" s="2"/>
      <x:c r="G9" s="2"/>
      <x:c r="H9" s="2"/>
    </x:row>
    <x:row r="10" ht="46" customHeight="1">
      <x:c r="A10" s="10" t="str">
        <x:v>Required purchases in whole packs</x:v>
      </x:c>
      <x:c r="B10" s="24" t="n">
        <x:f>IF(COUNTIFS(Purchase!G5:G30,"Required",Purchase!R5:R30,"OK")=COUNTIF(Purchase!G5:G30,"Required"),SUMIFS(Purchase!M5:M30,Purchase!G5:G30,"Required"),"Unconfirmed")</x:f>
        <x:v>512.5122056280459</x:v>
      </x:c>
      <x:c r="C10"/>
      <x:c r="D10" s="2"/>
      <x:c r="E10" s="2"/>
      <x:c r="F10" s="2"/>
      <x:c r="G10" s="2"/>
      <x:c r="H10" s="2"/>
    </x:row>
    <x:row r="11" ht="60" customHeight="1">
      <x:c r="A11" s="10" t="str">
        <x:v>Developer equipment budget</x:v>
      </x:c>
      <x:c r="B11" s="24" t="n">
        <x:f>IF(COUNTIFS(Purchase!G5:G30,"Developer",Purchase!R5:R30,"OK")=COUNTIF(Purchase!G5:G30,"Developer"),SUMIFS(Purchase!K5:K30,Purchase!G5:G30,"Developer"),"Unconfirmed")</x:f>
        <x:v>1214.0286983178744</x:v>
      </x:c>
      <x:c r="C11"/>
      <x:c r="D11" s="2"/>
      <x:c r="E11" s="10" t="str">
        <x:v>Required: prints, PCB and assembly materials. Developer: external gas delivery, testing and flashing equipment; borrow where possible.</x:v>
      </x:c>
      <x:c r="F11" s="2"/>
      <x:c r="G11" s="2"/>
      <x:c r="H11" s="2"/>
    </x:row>
    <x:row r="12" ht="46" customHeight="1">
      <x:c r="A12" s="10" t="str">
        <x:v>Developer new-purchase budget</x:v>
      </x:c>
      <x:c r="B12" s="24" t="n">
        <x:f>IF(COUNTIFS(Purchase!G5:G30,"Developer",Purchase!R5:R30,"OK")=COUNTIF(Purchase!G5:G30,"Developer"),SUMIFS(Purchase!M5:M30,Purchase!G5:G30,"Developer"),"Unconfirmed")</x:f>
        <x:v>1214.0286983178744</x:v>
      </x:c>
      <x:c r="C12"/>
      <x:c r="D12" s="2"/>
      <x:c r="E12" s="2"/>
      <x:c r="F12" s="2"/>
      <x:c r="G12" s="2"/>
      <x:c r="H12" s="2"/>
    </x:row>
    <x:row r="13" ht="60" customHeight="1">
      <x:c r="A13" s="10" t="str">
        <x:v>Future allowance</x:v>
      </x:c>
      <x:c r="B13" s="24" t="n">
        <x:f>IF(COUNTIFS(Purchase!G5:G30,"Future",Purchase!R5:R30,"OK")=COUNTIF(Purchase!G5:G30,"Future"),SUMIFS(Purchase!K5:K30,Purchase!G5:G30,"Future"),"Unconfirmed")</x:f>
        <x:v>235.8119792485458</x:v>
      </x:c>
      <x:c r="C13"/>
      <x:c r="D13" s="2"/>
      <x:c r="E13" s="10" t="str">
        <x:v>L01 gas delivery and L04 flow measurement remain necessary for gas experiments.</x:v>
      </x:c>
      <x:c r="F13" s="2"/>
      <x:c r="G13" s="2"/>
      <x:c r="H13" s="2"/>
    </x:row>
    <x:row r="14" ht="46" customHeight="1">
      <x:c r="A14" s="10" t="str">
        <x:v>PCB priced-material subtotal</x:v>
      </x:c>
      <x:c r="B14" s="24" t="n">
        <x:f>PCB!K68</x:f>
        <x:v>61.436880993554496</x:v>
      </x:c>
      <x:c r="C14"/>
      <x:c r="D14" s="2"/>
      <x:c r="E14" s="2"/>
      <x:c r="F14" s="2"/>
      <x:c r="G14" s="2"/>
      <x:c r="H14" s="2"/>
    </x:row>
    <x:row r="15" ht="60" customHeight="1">
      <x:c r="A15" s="10" t="str">
        <x:v>PCB unpriced rows</x:v>
      </x:c>
      <x:c r="B15" s="27" t="n">
        <x:f>ROWS(PCB!J5:J65)-COUNT(PCB!J5:J65)</x:f>
        <x:v>1</x:v>
      </x:c>
      <x:c r="C15"/>
      <x:c r="D15" s="2"/>
      <x:c r="E15" s="10" t="str">
        <x:v>Future items are excluded from current budgets. PDMS, valves and environment sensing are not integrated.</x:v>
      </x:c>
      <x:c r="F15" s="2"/>
      <x:c r="G15" s="2"/>
      <x:c r="H15" s="2"/>
    </x:row>
    <x:row r="16" ht="74" customHeight="1">
      <x:c r="A16" s="15" t="str">
        <x:v>Confirmed order-ready total</x:v>
      </x:c>
      <x:c r="B16" s="15" t="str">
        <x:v>Custom filter and other details pending</x:v>
      </x:c>
      <x:c r="C16"/>
      <x:c r="D16" s="2"/>
      <x:c r="E16" s="2"/>
      <x:c r="F16" s="2"/>
      <x:c r="G16" s="2"/>
      <x:c r="H16" s="2"/>
    </x:row>
    <x:row r="17" ht="60" customHeight="1">
      <x:c r="A17" s="2"/>
      <x:c r="B17" s="2"/>
      <x:c r="C17" s="2"/>
      <x:c r="D17" s="2"/>
      <x:c r="E17" s="10" t="str">
        <x:v>Listed is an observed price. Proxy has specification differences. Allowance is a planning value, not a verified selling price.</x:v>
      </x:c>
      <x:c r="F17" s="2"/>
      <x:c r="G17" s="2"/>
      <x:c r="H17" s="2"/>
    </x:row>
    <x:row r="18" ht="28" customHeight="1">
      <x:c r="A18" s="2"/>
      <x:c r="B18" s="2"/>
      <x:c r="C18" s="2"/>
      <x:c r="D18" s="2"/>
      <x:c r="E18" s="2"/>
      <x:c r="F18" s="2"/>
      <x:c r="G18" s="2"/>
      <x:c r="H18" s="2"/>
    </x:row>
    <x:row r="19" ht="60" customHeight="1">
      <x:c r="A19" s="2"/>
      <x:c r="B19" s="2"/>
      <x:c r="C19" s="2"/>
      <x:c r="D19" s="2"/>
      <x:c r="E19" s="10" t="str">
        <x:v>Device budget includes USD 377.30 for a custom filter. The 12.5 mm reference filter is too large and too thick.</x:v>
      </x:c>
      <x:c r="F19" s="2"/>
      <x:c r="G19" s="2"/>
      <x:c r="H19" s="2"/>
    </x:row>
    <x:row r="20" ht="28" customHeight="1">
      <x:c r="A20" s="2"/>
      <x:c r="B20" s="2"/>
      <x:c r="C20" s="2"/>
      <x:c r="D20" s="2"/>
      <x:c r="E20" s="2"/>
      <x:c r="F20" s="2"/>
      <x:c r="G20" s="2"/>
      <x:c r="H20" s="2"/>
    </x:row>
    <x:row r="21" ht="60" customHeight="1">
      <x:c r="A21" s="2"/>
      <x:c r="B21" s="2"/>
      <x:c r="C21" s="2"/>
      <x:c r="D21" s="2"/>
      <x:c r="E21" s="10" t="str">
        <x:v>Used cost differs from whole-pack spending. Two filters are used; the reference box has 100. Owned quantity defaults to 0.</x:v>
      </x:c>
      <x:c r="F21" s="2"/>
      <x:c r="G21" s="2"/>
      <x:c r="H21" s="2"/>
    </x:row>
    <x:row r="22" ht="28" customHeight="1">
      <x:c r="A22" s="2"/>
      <x:c r="B22" s="2"/>
      <x:c r="C22" s="2"/>
      <x:c r="D22" s="2"/>
      <x:c r="E22" s="2"/>
      <x:c r="F22" s="2"/>
      <x:c r="G22" s="2"/>
      <x:c r="H22" s="2"/>
    </x:row>
    <x:row r="23" ht="60" customHeight="1">
      <x:c r="A23" s="2"/>
      <x:c r="B23" s="2"/>
      <x:c r="C23" s="2"/>
      <x:c r="D23" s="2"/>
      <x:c r="E23" s="10" t="str">
        <x:v>PCB quote: USD 4,126.71 for two including design/setup. USD 2,063.35 is an allocation, not production pricing. Do not add component costs again.</x:v>
      </x:c>
      <x:c r="F23" s="2"/>
      <x:c r="G23" s="2"/>
      <x:c r="H23" s="2"/>
    </x:row>
    <x:row r="24" ht="28" customHeight="1">
      <x:c r="A24" s="2"/>
      <x:c r="B24" s="2"/>
      <x:c r="C24" s="2"/>
      <x:c r="D24" s="2"/>
      <x:c r="E24" s="2"/>
      <x:c r="F24" s="2"/>
      <x:c r="G24" s="2"/>
      <x:c r="H24" s="2"/>
    </x:row>
    <x:row r="25" ht="60" customHeight="1">
      <x:c r="A25" s="2"/>
      <x:c r="B25" s="2"/>
      <x:c r="C25" s="2"/>
      <x:c r="D25" s="2"/>
      <x:c r="E25" s="10" t="str">
        <x:v>Shipping, extra taxes, unlisted labor, reprints, cell culture and existing capital-equipment replacement are excluded.</x:v>
      </x:c>
      <x:c r="F25" s="2"/>
      <x:c r="G25" s="2"/>
      <x:c r="H25" s="2"/>
    </x:row>
    <x:row r="26" ht="28" customHeight="1">
      <x:c r="A26" s="2"/>
      <x:c r="B26" s="2"/>
      <x:c r="C26" s="2"/>
      <x:c r="D26" s="2"/>
      <x:c r="E26" s="2"/>
      <x:c r="F26" s="2"/>
      <x:c r="G26" s="2"/>
      <x:c r="H26" s="2"/>
    </x:row>
    <x:row r="27" ht="28" customHeight="1">
      <x:c r="A27" s="2"/>
      <x:c r="B27" s="2"/>
      <x:c r="C27" s="2"/>
      <x:c r="D27" s="2"/>
      <x:c r="E27" s="2"/>
      <x:c r="F27" s="2"/>
      <x:c r="G27" s="2"/>
      <x:c r="H27" s="2"/>
    </x:row>
    <x:row r="28" ht="28" customHeight="1">
      <x:c r="A28" s="10" t="str">
        <x:v>USD values retain full precision; displayed cents are rounded only for reading.</x:v>
      </x:c>
      <x:c r="B28" s="10"/>
      <x:c r="C28" s="10"/>
      <x:c r="D28" s="10"/>
      <x:c r="E28" s="10"/>
      <x:c r="F28" s="10"/>
      <x:c r="G28" s="10"/>
      <x:c r="H28" s="10"/>
    </x:row>
    <x:row r="29" ht="28" customHeight="1">
      <x:c r="A29" s="10"/>
      <x:c r="B29" s="10"/>
      <x:c r="C29" s="10"/>
      <x:c r="D29" s="10"/>
      <x:c r="E29" s="10"/>
      <x:c r="F29" s="10"/>
      <x:c r="G29" s="10"/>
      <x:c r="H29" s="10"/>
    </x:row>
    <x:row r="30" ht="28" customHeight="1">
      <x:c r="A30" s="10" t="str">
        <x:v>New FX basis: reprice USD input cells directly. The FX snapshot label does not recalculate costs; see Notes.</x:v>
      </x:c>
      <x:c r="B30" s="10"/>
      <x:c r="C30" s="10"/>
      <x:c r="D30" s="10"/>
      <x:c r="E30" s="10"/>
      <x:c r="F30" s="10"/>
      <x:c r="G30" s="10"/>
      <x:c r="H30" s="10"/>
    </x:row>
    <x:row r="31" ht="28" customHeight="1">
      <x:c r="A31" s="2"/>
      <x:c r="B31" s="2"/>
      <x:c r="C31" s="2"/>
      <x:c r="D31" s="2"/>
      <x:c r="E31" s="2"/>
      <x:c r="F31" s="2"/>
      <x:c r="G31" s="2"/>
      <x:c r="H31" s="2"/>
    </x:row>
    <x:row r="32" ht="28" customHeight="1">
      <x:c r="A32" s="2"/>
      <x:c r="B32" s="2"/>
      <x:c r="C32" s="2"/>
      <x:c r="D32" s="2"/>
      <x:c r="E32" s="2"/>
      <x:c r="F32" s="2"/>
      <x:c r="G32" s="2"/>
      <x:c r="H32" s="2"/>
    </x:row>
    <x:row r="33" ht="28" customHeight="1">
      <x:c r="A33" s="2"/>
      <x:c r="B33" s="2"/>
      <x:c r="C33" s="2"/>
      <x:c r="D33" s="2"/>
      <x:c r="E33" s="2"/>
      <x:c r="F33" s="2"/>
      <x:c r="G33" s="2"/>
      <x:c r="H33" s="2"/>
    </x:row>
    <x:row r="34" ht="28" customHeight="1">
      <x:c r="A34" s="2"/>
      <x:c r="B34" s="2"/>
      <x:c r="C34" s="2"/>
      <x:c r="D34" s="2"/>
      <x:c r="E34" s="2"/>
      <x:c r="F34" s="2"/>
      <x:c r="G34" s="2"/>
      <x:c r="H34" s="2"/>
    </x:row>
    <x:row r="35" ht="28" customHeight="1">
      <x:c r="A35" s="2"/>
      <x:c r="B35" s="2"/>
      <x:c r="C35" s="2"/>
      <x:c r="D35" s="2"/>
      <x:c r="E35" s="2"/>
      <x:c r="F35" s="2"/>
      <x:c r="G35" s="2"/>
      <x:c r="H35" s="2"/>
    </x:row>
    <x:row r="36" ht="28" customHeight="1">
      <x:c r="A36" s="2"/>
      <x:c r="B36" s="2"/>
      <x:c r="C36" s="2"/>
      <x:c r="D36" s="2"/>
      <x:c r="E36" s="2"/>
      <x:c r="F36" s="2"/>
      <x:c r="G36" s="2"/>
      <x:c r="H36" s="2"/>
    </x:row>
    <x:row r="37" ht="28" customHeight="1">
      <x:c r="A37" s="2"/>
      <x:c r="B37" s="2"/>
      <x:c r="C37" s="2"/>
      <x:c r="D37" s="2"/>
      <x:c r="E37" s="2"/>
      <x:c r="F37" s="2"/>
      <x:c r="G37" s="2"/>
      <x:c r="H37" s="2"/>
    </x:row>
    <x:row r="38" ht="28" customHeight="1">
      <x:c r="A38" s="2"/>
      <x:c r="B38" s="2"/>
      <x:c r="C38" s="2"/>
      <x:c r="D38" s="2"/>
      <x:c r="E38" s="2"/>
      <x:c r="F38" s="2"/>
      <x:c r="G38" s="2"/>
      <x:c r="H38" s="2"/>
    </x:row>
    <x:row r="39" ht="28" customHeight="1">
      <x:c r="A39" s="2"/>
      <x:c r="B39" s="2"/>
      <x:c r="C39" s="2"/>
      <x:c r="D39" s="2"/>
      <x:c r="E39" s="2"/>
      <x:c r="F39" s="2"/>
      <x:c r="G39" s="2"/>
      <x:c r="H39" s="2"/>
    </x:row>
    <x:row r="40" ht="28" customHeight="1">
      <x:c r="A40" s="2"/>
      <x:c r="B40" s="2"/>
      <x:c r="C40" s="2"/>
      <x:c r="D40" s="2"/>
      <x:c r="E40" s="2"/>
      <x:c r="F40" s="2"/>
      <x:c r="G40" s="2"/>
      <x:c r="H40" s="2"/>
    </x:row>
    <x:row r="41" ht="28" customHeight="1">
      <x:c r="A41" s="2"/>
      <x:c r="B41" s="2"/>
      <x:c r="C41" s="2"/>
      <x:c r="D41" s="2"/>
      <x:c r="E41" s="2"/>
      <x:c r="F41" s="2"/>
      <x:c r="G41" s="2"/>
      <x:c r="H41" s="2"/>
    </x:row>
    <x:row r="42" ht="28" customHeight="1">
      <x:c r="A42" s="2"/>
      <x:c r="B42" s="2"/>
      <x:c r="C42" s="2"/>
      <x:c r="D42" s="2"/>
      <x:c r="E42" s="2"/>
      <x:c r="F42" s="2"/>
      <x:c r="G42" s="2"/>
      <x:c r="H42" s="2"/>
    </x:row>
    <x:row r="43" ht="28" customHeight="1">
      <x:c r="A43" s="2"/>
      <x:c r="B43" s="2"/>
      <x:c r="C43" s="2"/>
      <x:c r="D43" s="2"/>
      <x:c r="E43" s="2"/>
      <x:c r="F43" s="2"/>
      <x:c r="G43" s="2"/>
      <x:c r="H43" s="2"/>
    </x:row>
    <x:row r="44" ht="28" customHeight="1">
      <x:c r="A44" s="2"/>
      <x:c r="B44" s="2"/>
      <x:c r="C44" s="2"/>
      <x:c r="D44" s="2"/>
      <x:c r="E44" s="2"/>
      <x:c r="F44" s="2"/>
      <x:c r="G44" s="2"/>
      <x:c r="H44" s="2"/>
    </x:row>
    <x:row r="45" ht="28" customHeight="1">
      <x:c r="A45" s="2"/>
      <x:c r="B45" s="2"/>
      <x:c r="C45" s="2"/>
      <x:c r="D45" s="2"/>
      <x:c r="E45" s="2"/>
      <x:c r="F45" s="2"/>
      <x:c r="G45" s="2"/>
      <x:c r="H45" s="2"/>
    </x:row>
    <x:row r="46" ht="28" customHeight="1">
      <x:c r="A46" s="2"/>
      <x:c r="B46" s="2"/>
      <x:c r="C46" s="2"/>
      <x:c r="D46" s="2"/>
      <x:c r="E46" s="2"/>
      <x:c r="F46" s="2"/>
      <x:c r="G46" s="2"/>
      <x:c r="H46" s="2"/>
    </x:row>
    <x:row r="47" ht="28" customHeight="1">
      <x:c r="A47" s="2"/>
      <x:c r="B47" s="2"/>
      <x:c r="C47" s="2"/>
      <x:c r="D47" s="2"/>
      <x:c r="E47" s="2"/>
      <x:c r="F47" s="2"/>
      <x:c r="G47" s="2"/>
      <x:c r="H47" s="2"/>
    </x:row>
    <x:row r="48" ht="28" customHeight="1">
      <x:c r="A48" s="2"/>
      <x:c r="B48" s="2"/>
      <x:c r="C48" s="2"/>
      <x:c r="D48" s="2"/>
      <x:c r="E48" s="2"/>
      <x:c r="F48" s="2"/>
      <x:c r="G48" s="2"/>
      <x:c r="H48" s="2"/>
    </x:row>
    <x:row r="49" ht="28" customHeight="1">
      <x:c r="A49" s="2"/>
      <x:c r="B49" s="2"/>
      <x:c r="C49" s="2"/>
      <x:c r="D49" s="2"/>
      <x:c r="E49" s="2"/>
      <x:c r="F49" s="2"/>
      <x:c r="G49" s="2"/>
      <x:c r="H49" s="2"/>
    </x:row>
    <x:row r="50" ht="28" customHeight="1">
      <x:c r="A50" s="2"/>
      <x:c r="B50" s="2"/>
      <x:c r="C50" s="2"/>
      <x:c r="D50" s="2"/>
      <x:c r="E50" s="2"/>
      <x:c r="F50" s="2"/>
      <x:c r="G50" s="2"/>
      <x:c r="H50" s="2"/>
    </x:row>
    <x:row r="51" ht="28" customHeight="1">
      <x:c r="A51" s="2"/>
      <x:c r="B51" s="2"/>
      <x:c r="C51" s="2"/>
      <x:c r="D51" s="2"/>
      <x:c r="E51" s="2"/>
      <x:c r="F51" s="2"/>
      <x:c r="G51" s="2"/>
      <x:c r="H51" s="2"/>
    </x:row>
    <x:row r="52" ht="28" customHeight="1">
      <x:c r="A52" s="2"/>
      <x:c r="B52" s="2"/>
      <x:c r="C52" s="2"/>
      <x:c r="D52" s="2"/>
      <x:c r="E52" s="2"/>
      <x:c r="F52" s="2"/>
      <x:c r="G52" s="2"/>
      <x:c r="H52" s="2"/>
    </x:row>
    <x:row r="53" ht="28" customHeight="1">
      <x:c r="A53" s="2"/>
      <x:c r="B53" s="2"/>
      <x:c r="C53" s="2"/>
      <x:c r="D53" s="2"/>
      <x:c r="E53" s="2"/>
      <x:c r="F53" s="2"/>
      <x:c r="G53" s="2"/>
      <x:c r="H53" s="2"/>
    </x:row>
    <x:row r="54" ht="28" customHeight="1">
      <x:c r="A54" s="2"/>
      <x:c r="B54" s="2"/>
      <x:c r="C54" s="2"/>
      <x:c r="D54" s="2"/>
      <x:c r="E54" s="2"/>
      <x:c r="F54" s="2"/>
      <x:c r="G54" s="2"/>
      <x:c r="H54" s="2"/>
    </x:row>
    <x:row r="55" ht="28" customHeight="1">
      <x:c r="A55" s="2"/>
      <x:c r="B55" s="2"/>
      <x:c r="C55" s="2"/>
      <x:c r="D55" s="2"/>
      <x:c r="E55" s="2"/>
      <x:c r="F55" s="2"/>
      <x:c r="G55" s="2"/>
      <x:c r="H55" s="2"/>
    </x:row>
    <x:row r="56" ht="28" customHeight="1">
      <x:c r="A56" s="2"/>
      <x:c r="B56" s="2"/>
      <x:c r="C56" s="2"/>
      <x:c r="D56" s="2"/>
      <x:c r="E56" s="2"/>
      <x:c r="F56" s="2"/>
      <x:c r="G56" s="2"/>
      <x:c r="H56" s="2"/>
    </x:row>
    <x:row r="57" ht="28" customHeight="1">
      <x:c r="A57" s="2"/>
      <x:c r="B57" s="2"/>
      <x:c r="C57" s="2"/>
      <x:c r="D57" s="2"/>
      <x:c r="E57" s="2"/>
      <x:c r="F57" s="2"/>
      <x:c r="G57" s="2"/>
      <x:c r="H57" s="2"/>
    </x:row>
    <x:row r="58" ht="28" customHeight="1">
      <x:c r="A58" s="2"/>
      <x:c r="B58" s="2"/>
      <x:c r="C58" s="2"/>
      <x:c r="D58" s="2"/>
      <x:c r="E58" s="2"/>
      <x:c r="F58" s="2"/>
      <x:c r="G58" s="2"/>
      <x:c r="H58" s="2"/>
    </x:row>
    <x:row r="59" ht="28" customHeight="1">
      <x:c r="A59" s="2"/>
      <x:c r="B59" s="2"/>
      <x:c r="C59" s="2"/>
      <x:c r="D59" s="2"/>
      <x:c r="E59" s="2"/>
      <x:c r="F59" s="2"/>
      <x:c r="G59" s="2"/>
      <x:c r="H59" s="2"/>
    </x:row>
    <x:row r="60" ht="28" customHeight="1">
      <x:c r="A60" s="2"/>
      <x:c r="B60" s="2"/>
      <x:c r="C60" s="2"/>
      <x:c r="D60" s="2"/>
      <x:c r="E60" s="2"/>
      <x:c r="F60" s="2"/>
      <x:c r="G60" s="2"/>
      <x:c r="H60" s="2"/>
    </x:row>
    <x:row r="61" ht="28" customHeight="1">
      <x:c r="A61" s="2"/>
      <x:c r="B61" s="2"/>
      <x:c r="C61" s="2"/>
      <x:c r="D61" s="2"/>
      <x:c r="E61" s="2"/>
      <x:c r="F61" s="2"/>
      <x:c r="G61" s="2"/>
      <x:c r="H61" s="2"/>
    </x:row>
    <x:row r="62" ht="28" customHeight="1">
      <x:c r="A62" s="2"/>
      <x:c r="B62" s="2"/>
      <x:c r="C62" s="2"/>
      <x:c r="D62" s="2"/>
      <x:c r="E62" s="2"/>
      <x:c r="F62" s="2"/>
      <x:c r="G62" s="2"/>
      <x:c r="H62" s="2"/>
    </x:row>
    <x:row r="63" ht="28" customHeight="1">
      <x:c r="A63" s="2"/>
      <x:c r="B63" s="2"/>
      <x:c r="C63" s="2"/>
      <x:c r="D63" s="2"/>
      <x:c r="E63" s="2"/>
      <x:c r="F63" s="2"/>
      <x:c r="G63" s="2"/>
      <x:c r="H63" s="2"/>
    </x:row>
    <x:row r="64" ht="28" customHeight="1">
      <x:c r="A64" s="2"/>
      <x:c r="B64" s="2"/>
      <x:c r="C64" s="2"/>
      <x:c r="D64" s="2"/>
      <x:c r="E64" s="2"/>
      <x:c r="F64" s="2"/>
      <x:c r="G64" s="2"/>
      <x:c r="H64" s="2"/>
    </x:row>
    <x:row r="65" ht="28" customHeight="1">
      <x:c r="A65" s="2"/>
      <x:c r="B65" s="2"/>
      <x:c r="C65" s="2"/>
      <x:c r="D65" s="2"/>
      <x:c r="E65" s="2"/>
      <x:c r="F65" s="2"/>
      <x:c r="G65" s="2"/>
      <x:c r="H65" s="2"/>
    </x:row>
    <x:row r="66" ht="28" customHeight="1">
      <x:c r="A66" s="2"/>
      <x:c r="B66" s="2"/>
      <x:c r="C66" s="2"/>
      <x:c r="D66" s="2"/>
      <x:c r="E66" s="2"/>
      <x:c r="F66" s="2"/>
      <x:c r="G66" s="2"/>
      <x:c r="H66" s="2"/>
    </x:row>
    <x:row r="67" ht="28" customHeight="1">
      <x:c r="A67" s="2"/>
      <x:c r="B67" s="2"/>
      <x:c r="C67" s="2"/>
      <x:c r="D67" s="2"/>
      <x:c r="E67" s="2"/>
      <x:c r="F67" s="2"/>
      <x:c r="G67" s="2"/>
      <x:c r="H67" s="2"/>
    </x:row>
    <x:row r="68" ht="28" customHeight="1">
      <x:c r="A68" s="2"/>
      <x:c r="B68" s="2"/>
      <x:c r="C68" s="2"/>
      <x:c r="D68" s="2"/>
      <x:c r="E68" s="2"/>
      <x:c r="F68" s="2"/>
      <x:c r="G68" s="2"/>
      <x:c r="H68" s="2"/>
    </x:row>
    <x:row r="69" ht="28" customHeight="1">
      <x:c r="A69" s="2"/>
      <x:c r="B69" s="2"/>
      <x:c r="C69" s="2"/>
      <x:c r="D69" s="2"/>
      <x:c r="E69" s="2"/>
      <x:c r="F69" s="2"/>
      <x:c r="G69" s="2"/>
      <x:c r="H69" s="2"/>
    </x:row>
    <x:row r="70" ht="28" customHeight="1">
      <x:c r="A70" s="2"/>
      <x:c r="B70" s="2"/>
      <x:c r="C70" s="2"/>
      <x:c r="D70" s="2"/>
      <x:c r="E70" s="2"/>
      <x:c r="F70" s="2"/>
      <x:c r="G70" s="2"/>
      <x:c r="H70" s="2"/>
    </x:row>
    <x:row r="71" ht="28" customHeight="1">
      <x:c r="A71" s="2"/>
      <x:c r="B71" s="2"/>
      <x:c r="C71" s="2"/>
      <x:c r="D71" s="2"/>
      <x:c r="E71" s="2"/>
      <x:c r="F71" s="2"/>
      <x:c r="G71" s="2"/>
      <x:c r="H71" s="2"/>
    </x:row>
    <x:row r="72" ht="28" customHeight="1">
      <x:c r="A72" s="2"/>
      <x:c r="B72" s="2"/>
      <x:c r="C72" s="2"/>
      <x:c r="D72" s="2"/>
      <x:c r="E72" s="2"/>
      <x:c r="F72" s="2"/>
      <x:c r="G72" s="2"/>
      <x:c r="H72" s="2"/>
    </x:row>
    <x:row r="73" ht="28" customHeight="1">
      <x:c r="A73" s="2"/>
      <x:c r="B73" s="2"/>
      <x:c r="C73" s="2"/>
      <x:c r="D73" s="2"/>
      <x:c r="E73" s="2"/>
      <x:c r="F73" s="2"/>
      <x:c r="G73" s="2"/>
      <x:c r="H73" s="2"/>
    </x:row>
    <x:row r="74" ht="28" customHeight="1">
      <x:c r="A74" s="2"/>
      <x:c r="B74" s="2"/>
      <x:c r="C74" s="2"/>
      <x:c r="D74" s="2"/>
      <x:c r="E74" s="2"/>
      <x:c r="F74" s="2"/>
      <x:c r="G74" s="2"/>
      <x:c r="H74" s="2"/>
    </x:row>
    <x:row r="75" ht="28" customHeight="1">
      <x:c r="A75" s="2"/>
      <x:c r="B75" s="2"/>
      <x:c r="C75" s="2"/>
      <x:c r="D75" s="2"/>
      <x:c r="E75" s="2"/>
      <x:c r="F75" s="2"/>
      <x:c r="G75" s="2"/>
      <x:c r="H75" s="2"/>
    </x:row>
    <x:row r="76" ht="28" customHeight="1">
      <x:c r="A76" s="2"/>
      <x:c r="B76" s="2"/>
      <x:c r="C76" s="2"/>
      <x:c r="D76" s="2"/>
      <x:c r="E76" s="2"/>
      <x:c r="F76" s="2"/>
      <x:c r="G76" s="2"/>
      <x:c r="H76" s="2"/>
    </x:row>
    <x:row r="77" ht="28" customHeight="1">
      <x:c r="A77" s="2"/>
      <x:c r="B77" s="2"/>
      <x:c r="C77" s="2"/>
      <x:c r="D77" s="2"/>
      <x:c r="E77" s="2"/>
      <x:c r="F77" s="2"/>
      <x:c r="G77" s="2"/>
      <x:c r="H77" s="2"/>
    </x:row>
    <x:row r="78" ht="28" customHeight="1">
      <x:c r="A78" s="2"/>
      <x:c r="B78" s="2"/>
      <x:c r="C78" s="2"/>
      <x:c r="D78" s="2"/>
      <x:c r="E78" s="2"/>
      <x:c r="F78" s="2"/>
      <x:c r="G78" s="2"/>
      <x:c r="H78" s="2"/>
    </x:row>
    <x:row r="79" ht="28" customHeight="1">
      <x:c r="A79" s="2"/>
      <x:c r="B79" s="2"/>
      <x:c r="C79" s="2"/>
      <x:c r="D79" s="2"/>
      <x:c r="E79" s="2"/>
      <x:c r="F79" s="2"/>
      <x:c r="G79" s="2"/>
      <x:c r="H79" s="2"/>
    </x:row>
    <x:row r="80" ht="28" customHeight="1">
      <x:c r="A80" s="2"/>
      <x:c r="B80" s="2"/>
      <x:c r="C80" s="2"/>
      <x:c r="D80" s="2"/>
      <x:c r="E80" s="2"/>
      <x:c r="F80" s="2"/>
      <x:c r="G80" s="2"/>
      <x:c r="H80" s="2"/>
    </x:row>
    <x:row r="81" ht="28" customHeight="1">
      <x:c r="A81" s="2"/>
      <x:c r="B81" s="2"/>
      <x:c r="C81" s="2"/>
      <x:c r="D81" s="2"/>
      <x:c r="E81" s="2"/>
      <x:c r="F81" s="2"/>
      <x:c r="G81" s="2"/>
      <x:c r="H81" s="2"/>
    </x:row>
    <x:row r="82" ht="28" customHeight="1">
      <x:c r="A82" s="2"/>
      <x:c r="B82" s="2"/>
      <x:c r="C82" s="2"/>
      <x:c r="D82" s="2"/>
      <x:c r="E82" s="2"/>
      <x:c r="F82" s="2"/>
      <x:c r="G82" s="2"/>
      <x:c r="H82" s="2"/>
    </x:row>
    <x:row r="83" ht="28" customHeight="1">
      <x:c r="A83" s="2"/>
      <x:c r="B83" s="2"/>
      <x:c r="C83" s="2"/>
      <x:c r="D83" s="2"/>
      <x:c r="E83" s="2"/>
      <x:c r="F83" s="2"/>
      <x:c r="G83" s="2"/>
      <x:c r="H83" s="2"/>
    </x:row>
    <x:row r="84" ht="28" customHeight="1">
      <x:c r="A84" s="2"/>
      <x:c r="B84" s="2"/>
      <x:c r="C84" s="2"/>
      <x:c r="D84" s="2"/>
      <x:c r="E84" s="2"/>
      <x:c r="F84" s="2"/>
      <x:c r="G84" s="2"/>
      <x:c r="H84" s="2"/>
    </x:row>
    <x:row r="85" ht="28" customHeight="1">
      <x:c r="A85" s="2"/>
      <x:c r="B85" s="2"/>
      <x:c r="C85" s="2"/>
      <x:c r="D85" s="2"/>
      <x:c r="E85" s="2"/>
      <x:c r="F85" s="2"/>
      <x:c r="G85" s="2"/>
      <x:c r="H85" s="2"/>
    </x:row>
    <x:row r="86" ht="28" customHeight="1">
      <x:c r="A86" s="2"/>
      <x:c r="B86" s="2"/>
      <x:c r="C86" s="2"/>
      <x:c r="D86" s="2"/>
      <x:c r="E86" s="2"/>
      <x:c r="F86" s="2"/>
      <x:c r="G86" s="2"/>
      <x:c r="H86" s="2"/>
    </x:row>
    <x:row r="87" ht="28" customHeight="1">
      <x:c r="A87" s="2"/>
      <x:c r="B87" s="2"/>
      <x:c r="C87" s="2"/>
      <x:c r="D87" s="2"/>
      <x:c r="E87" s="2"/>
      <x:c r="F87" s="2"/>
      <x:c r="G87" s="2"/>
      <x:c r="H87" s="2"/>
    </x:row>
    <x:row r="88" ht="28" customHeight="1">
      <x:c r="A88" s="2"/>
      <x:c r="B88" s="2"/>
      <x:c r="C88" s="2"/>
      <x:c r="D88" s="2"/>
      <x:c r="E88" s="2"/>
      <x:c r="F88" s="2"/>
      <x:c r="G88" s="2"/>
      <x:c r="H88" s="2"/>
    </x:row>
    <x:row r="89" ht="28" customHeight="1">
      <x:c r="A89" s="2"/>
      <x:c r="B89" s="2"/>
      <x:c r="C89" s="2"/>
      <x:c r="D89" s="2"/>
      <x:c r="E89" s="2"/>
      <x:c r="F89" s="2"/>
      <x:c r="G89" s="2"/>
      <x:c r="H89" s="2"/>
    </x:row>
    <x:row r="90" ht="28" customHeight="1">
      <x:c r="A90" s="2"/>
      <x:c r="B90" s="2"/>
      <x:c r="C90" s="2"/>
      <x:c r="D90" s="2"/>
      <x:c r="E90" s="2"/>
      <x:c r="F90" s="2"/>
      <x:c r="G90" s="2"/>
      <x:c r="H90" s="2"/>
    </x:row>
    <x:row r="91" ht="28" customHeight="1">
      <x:c r="A91" s="2"/>
      <x:c r="B91" s="2"/>
      <x:c r="C91" s="2"/>
      <x:c r="D91" s="2"/>
      <x:c r="E91" s="2"/>
      <x:c r="F91" s="2"/>
      <x:c r="G91" s="2"/>
      <x:c r="H91" s="2"/>
    </x:row>
    <x:row r="92" ht="28" customHeight="1">
      <x:c r="A92" s="2"/>
      <x:c r="B92" s="2"/>
      <x:c r="C92" s="2"/>
      <x:c r="D92" s="2"/>
      <x:c r="E92" s="2"/>
      <x:c r="F92" s="2"/>
      <x:c r="G92" s="2"/>
      <x:c r="H92" s="2"/>
    </x:row>
    <x:row r="93" ht="28" customHeight="1">
      <x:c r="A93" s="2"/>
      <x:c r="B93" s="2"/>
      <x:c r="C93" s="2"/>
      <x:c r="D93" s="2"/>
      <x:c r="E93" s="2"/>
      <x:c r="F93" s="2"/>
      <x:c r="G93" s="2"/>
      <x:c r="H93" s="2"/>
    </x:row>
    <x:row r="94" ht="28" customHeight="1">
      <x:c r="A94" s="2"/>
      <x:c r="B94" s="2"/>
      <x:c r="C94" s="2"/>
      <x:c r="D94" s="2"/>
      <x:c r="E94" s="2"/>
      <x:c r="F94" s="2"/>
      <x:c r="G94" s="2"/>
      <x:c r="H94" s="2"/>
    </x:row>
    <x:row r="95" ht="28" customHeight="1">
      <x:c r="A95" s="2"/>
      <x:c r="B95" s="2"/>
      <x:c r="C95" s="2"/>
      <x:c r="D95" s="2"/>
      <x:c r="E95" s="2"/>
      <x:c r="F95" s="2"/>
      <x:c r="G95" s="2"/>
      <x:c r="H95" s="2"/>
    </x:row>
    <x:row r="96" ht="28" customHeight="1">
      <x:c r="A96" s="2"/>
      <x:c r="B96" s="2"/>
      <x:c r="C96" s="2"/>
      <x:c r="D96" s="2"/>
      <x:c r="E96" s="2"/>
      <x:c r="F96" s="2"/>
      <x:c r="G96" s="2"/>
      <x:c r="H96" s="2"/>
    </x:row>
    <x:row r="97" ht="28" customHeight="1">
      <x:c r="A97" s="2"/>
      <x:c r="B97" s="2"/>
      <x:c r="C97" s="2"/>
      <x:c r="D97" s="2"/>
      <x:c r="E97" s="2"/>
      <x:c r="F97" s="2"/>
      <x:c r="G97" s="2"/>
      <x:c r="H97" s="2"/>
    </x:row>
    <x:row r="98" ht="28" customHeight="1">
      <x:c r="A98" s="2"/>
      <x:c r="B98" s="2"/>
      <x:c r="C98" s="2"/>
      <x:c r="D98" s="2"/>
      <x:c r="E98" s="2"/>
      <x:c r="F98" s="2"/>
      <x:c r="G98" s="2"/>
      <x:c r="H98" s="2"/>
    </x:row>
    <x:row r="99" ht="28" customHeight="1">
      <x:c r="A99" s="2"/>
      <x:c r="B99" s="2"/>
      <x:c r="C99" s="2"/>
      <x:c r="D99" s="2"/>
      <x:c r="E99" s="2"/>
      <x:c r="F99" s="2"/>
      <x:c r="G99" s="2"/>
      <x:c r="H99" s="2"/>
    </x:row>
    <x:row r="100" ht="28" customHeight="1">
      <x:c r="A100" s="2"/>
      <x:c r="B100" s="2"/>
      <x:c r="C100" s="2"/>
      <x:c r="D100" s="2"/>
      <x:c r="E100" s="2"/>
      <x:c r="F100" s="2"/>
      <x:c r="G100" s="2"/>
      <x:c r="H100" s="2"/>
    </x:row>
    <x:row r="101" ht="28" customHeight="1">
      <x:c r="A101" s="2"/>
      <x:c r="B101" s="2"/>
      <x:c r="C101" s="2"/>
      <x:c r="D101" s="2"/>
      <x:c r="E101" s="2"/>
      <x:c r="F101" s="2"/>
      <x:c r="G101" s="2"/>
      <x:c r="H101" s="2"/>
    </x:row>
    <x:row r="102" ht="28" customHeight="1">
      <x:c r="A102" s="2"/>
      <x:c r="B102" s="2"/>
      <x:c r="C102" s="2"/>
      <x:c r="D102" s="2"/>
      <x:c r="E102" s="2"/>
      <x:c r="F102" s="2"/>
      <x:c r="G102" s="2"/>
      <x:c r="H102" s="2"/>
    </x:row>
    <x:row r="103" ht="28" customHeight="1">
      <x:c r="A103" s="2"/>
      <x:c r="B103" s="2"/>
      <x:c r="C103" s="2"/>
      <x:c r="D103" s="2"/>
      <x:c r="E103" s="2"/>
      <x:c r="F103" s="2"/>
      <x:c r="G103" s="2"/>
      <x:c r="H103" s="2"/>
    </x:row>
    <x:row r="104" ht="28" customHeight="1">
      <x:c r="A104" s="2"/>
      <x:c r="B104" s="2"/>
      <x:c r="C104" s="2"/>
      <x:c r="D104" s="2"/>
      <x:c r="E104" s="2"/>
      <x:c r="F104" s="2"/>
      <x:c r="G104" s="2"/>
      <x:c r="H104" s="2"/>
    </x:row>
    <x:row r="105" ht="28" customHeight="1">
      <x:c r="A105" s="2"/>
      <x:c r="B105" s="2"/>
      <x:c r="C105" s="2"/>
      <x:c r="D105" s="2"/>
      <x:c r="E105" s="2"/>
      <x:c r="F105" s="2"/>
      <x:c r="G105" s="2"/>
      <x:c r="H105" s="2"/>
    </x:row>
    <x:row r="106" ht="28" customHeight="1">
      <x:c r="A106" s="2"/>
      <x:c r="B106" s="2"/>
      <x:c r="C106" s="2"/>
      <x:c r="D106" s="2"/>
      <x:c r="E106" s="2"/>
      <x:c r="F106" s="2"/>
      <x:c r="G106" s="2"/>
      <x:c r="H106" s="2"/>
    </x:row>
    <x:row r="107" ht="28" customHeight="1">
      <x:c r="A107" s="2"/>
      <x:c r="B107" s="2"/>
      <x:c r="C107" s="2"/>
      <x:c r="D107" s="2"/>
      <x:c r="E107" s="2"/>
      <x:c r="F107" s="2"/>
      <x:c r="G107" s="2"/>
      <x:c r="H107" s="2"/>
    </x:row>
    <x:row r="108" ht="28" customHeight="1">
      <x:c r="A108" s="2"/>
      <x:c r="B108" s="2"/>
      <x:c r="C108" s="2"/>
      <x:c r="D108" s="2"/>
      <x:c r="E108" s="2"/>
      <x:c r="F108" s="2"/>
      <x:c r="G108" s="2"/>
      <x:c r="H108" s="2"/>
    </x:row>
    <x:row r="109" ht="28" customHeight="1">
      <x:c r="A109" s="2"/>
      <x:c r="B109" s="2"/>
      <x:c r="C109" s="2"/>
      <x:c r="D109" s="2"/>
      <x:c r="E109" s="2"/>
      <x:c r="F109" s="2"/>
      <x:c r="G109" s="2"/>
      <x:c r="H109" s="2"/>
    </x:row>
    <x:row r="110" ht="28" customHeight="1">
      <x:c r="A110" s="2"/>
      <x:c r="B110" s="2"/>
      <x:c r="C110" s="2"/>
      <x:c r="D110" s="2"/>
      <x:c r="E110" s="2"/>
      <x:c r="F110" s="2"/>
      <x:c r="G110" s="2"/>
      <x:c r="H110" s="2"/>
    </x:row>
    <x:row r="111" ht="28" customHeight="1">
      <x:c r="A111" s="2"/>
      <x:c r="B111" s="2"/>
      <x:c r="C111" s="2"/>
      <x:c r="D111" s="2"/>
      <x:c r="E111" s="2"/>
      <x:c r="F111" s="2"/>
      <x:c r="G111" s="2"/>
      <x:c r="H111" s="2"/>
    </x:row>
    <x:row r="112" ht="28" customHeight="1">
      <x:c r="A112" s="2"/>
      <x:c r="B112" s="2"/>
      <x:c r="C112" s="2"/>
      <x:c r="D112" s="2"/>
      <x:c r="E112" s="2"/>
      <x:c r="F112" s="2"/>
      <x:c r="G112" s="2"/>
      <x:c r="H112" s="2"/>
    </x:row>
    <x:row r="113" ht="28" customHeight="1">
      <x:c r="A113" s="2"/>
      <x:c r="B113" s="2"/>
      <x:c r="C113" s="2"/>
      <x:c r="D113" s="2"/>
      <x:c r="E113" s="2"/>
      <x:c r="F113" s="2"/>
      <x:c r="G113" s="2"/>
      <x:c r="H113" s="2"/>
    </x:row>
    <x:row r="114" ht="28" customHeight="1">
      <x:c r="A114" s="2"/>
      <x:c r="B114" s="2"/>
      <x:c r="C114" s="2"/>
      <x:c r="D114" s="2"/>
      <x:c r="E114" s="2"/>
      <x:c r="F114" s="2"/>
      <x:c r="G114" s="2"/>
      <x:c r="H114" s="2"/>
    </x:row>
    <x:row r="115" ht="28" customHeight="1">
      <x:c r="A115" s="2"/>
      <x:c r="B115" s="2"/>
      <x:c r="C115" s="2"/>
      <x:c r="D115" s="2"/>
      <x:c r="E115" s="2"/>
      <x:c r="F115" s="2"/>
      <x:c r="G115" s="2"/>
      <x:c r="H115" s="2"/>
    </x:row>
    <x:row r="116" ht="28" customHeight="1">
      <x:c r="A116" s="2"/>
      <x:c r="B116" s="2"/>
      <x:c r="C116" s="2"/>
      <x:c r="D116" s="2"/>
      <x:c r="E116" s="2"/>
      <x:c r="F116" s="2"/>
      <x:c r="G116" s="2"/>
      <x:c r="H116" s="2"/>
    </x:row>
    <x:row r="117" ht="28" customHeight="1">
      <x:c r="A117" s="2"/>
      <x:c r="B117" s="2"/>
      <x:c r="C117" s="2"/>
      <x:c r="D117" s="2"/>
      <x:c r="E117" s="2"/>
      <x:c r="F117" s="2"/>
      <x:c r="G117" s="2"/>
      <x:c r="H117" s="2"/>
    </x:row>
    <x:row r="118" ht="28" customHeight="1">
      <x:c r="A118" s="2"/>
      <x:c r="B118" s="2"/>
      <x:c r="C118" s="2"/>
      <x:c r="D118" s="2"/>
      <x:c r="E118" s="2"/>
      <x:c r="F118" s="2"/>
      <x:c r="G118" s="2"/>
      <x:c r="H118" s="2"/>
    </x:row>
    <x:row r="119" ht="28" customHeight="1">
      <x:c r="A119" s="2"/>
      <x:c r="B119" s="2"/>
      <x:c r="C119" s="2"/>
      <x:c r="D119" s="2"/>
      <x:c r="E119" s="2"/>
      <x:c r="F119" s="2"/>
      <x:c r="G119" s="2"/>
      <x:c r="H119" s="2"/>
    </x:row>
    <x:row r="120" ht="28" customHeight="1">
      <x:c r="A120" s="2"/>
      <x:c r="B120" s="2"/>
      <x:c r="C120" s="2"/>
      <x:c r="D120" s="2"/>
      <x:c r="E120" s="2"/>
      <x:c r="F120" s="2"/>
      <x:c r="G120" s="2"/>
      <x:c r="H120" s="2"/>
    </x:row>
  </x:sheetData>
  <x:mergeCells>
    <x:mergeCell ref="E11:H11"/>
    <x:mergeCell ref="E13:H13"/>
    <x:mergeCell ref="E15:H15"/>
    <x:mergeCell ref="E17:H17"/>
    <x:mergeCell ref="E19:H19"/>
    <x:mergeCell ref="E21:H21"/>
    <x:mergeCell ref="E23:H23"/>
    <x:mergeCell ref="E25:H25"/>
    <x:mergeCell ref="A28:H28"/>
    <x:mergeCell ref="A30:H30"/>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8" hidden="0" customWidth="1"/>
    <x:col min="2" max="2" width="24" hidden="0" customWidth="1"/>
    <x:col min="3" max="3" width="7" hidden="0" customWidth="1"/>
    <x:col min="4" max="4" width="24" hidden="0" customWidth="1"/>
    <x:col min="5" max="5" width="52" hidden="0" customWidth="1"/>
    <x:col min="6" max="6" width="26" hidden="0" customWidth="1"/>
    <x:col min="7" max="7" width="38" hidden="0" customWidth="1"/>
    <x:col min="8" max="8" width="10" hidden="0" customWidth="1"/>
    <x:col min="9" max="9" width="4" hidden="0" customWidth="1"/>
    <x:col min="10" max="10" width="50" hidden="0" customWidth="1"/>
    <x:col min="11" max="11" width="55" hidden="0" customWidth="1"/>
    <x:col min="12" max="12" width="15" hidden="0" customWidth="1"/>
  </x:cols>
  <x:sheetData>
    <x:row r="1" ht="28" customHeight="1">
      <x:c r="A1" s="2"/>
      <x:c r="B1" s="2"/>
      <x:c r="C1" s="2"/>
      <x:c r="D1" s="2"/>
      <x:c r="E1" s="2"/>
      <x:c r="F1" s="2"/>
      <x:c r="G1" s="2"/>
      <x:c r="H1" s="2"/>
      <x:c r="I1" s="2"/>
      <x:c r="J1" s="2"/>
      <x:c r="K1" s="2"/>
      <x:c r="L1" s="2"/>
    </x:row>
    <x:row r="2" ht="28" customHeight="1">
      <x:c r="A2" s="3" t="str">
        <x:v>Eight printed parts</x:v>
      </x:c>
      <x:c r="B2" s="2"/>
      <x:c r="C2" s="2"/>
      <x:c r="D2" s="2"/>
      <x:c r="E2" s="2"/>
      <x:c r="F2" s="2"/>
      <x:c r="G2" s="2"/>
      <x:c r="H2" s="2"/>
      <x:c r="I2" s="2"/>
      <x:c r="J2" s="2"/>
      <x:c r="K2" s="2"/>
      <x:c r="L2" s="2"/>
    </x:row>
    <x:row r="3" ht="28" customHeight="1">
      <x:c r="A3" s="4" t="str">
        <x:v>Required. One of each; count batch costs once.</x:v>
      </x:c>
      <x:c r="B3" s="2"/>
      <x:c r="C3" s="2"/>
      <x:c r="D3" s="2"/>
      <x:c r="E3" s="2"/>
      <x:c r="F3" s="2"/>
      <x:c r="G3" s="2"/>
      <x:c r="H3" s="2"/>
      <x:c r="I3" s="2"/>
      <x:c r="J3" s="2"/>
      <x:c r="K3" s="2"/>
      <x:c r="L3" s="2"/>
    </x:row>
    <x:row r="4" ht="48" customHeight="1">
      <x:c r="A4" s="8" t="str">
        <x:v>ID</x:v>
      </x:c>
      <x:c r="B4" s="8" t="str">
        <x:v>Name</x:v>
      </x:c>
      <x:c r="C4" s="8" t="str">
        <x:v>Qty</x:v>
      </x:c>
      <x:c r="D4" s="8" t="str">
        <x:v>Size mm</x:v>
      </x:c>
      <x:c r="E4" s="8" t="str">
        <x:v>Specification</x:v>
      </x:c>
      <x:c r="F4" s="8" t="str">
        <x:v>Resin</x:v>
      </x:c>
      <x:c r="G4" s="8" t="str">
        <x:v>Purpose and location</x:v>
      </x:c>
      <x:c r="H4" s="8" t="str">
        <x:v>Batch</x:v>
      </x:c>
      <x:c r="I4" s="8" t="str"/>
      <x:c r="J4" s="8" t="str">
        <x:v>STL filename</x:v>
      </x:c>
      <x:c r="K4" s="8" t="str">
        <x:v>Limits and sources</x:v>
      </x:c>
      <x:c r="L4" s="8" t="str">
        <x:v>Class</x:v>
      </x:c>
    </x:row>
    <x:row r="5" ht="63" customHeight="1">
      <x:c r="A5" s="10" t="str">
        <x:v>01</x:v>
      </x:c>
      <x:c r="B5" s="10" t="str">
        <x:v>Integral base</x:v>
      </x:c>
      <x:c r="C5" s="10" t="n">
        <x:v>1</x:v>
      </x:c>
      <x:c r="D5" s="10" t="str">
        <x:v>108 × 108 × 43.3</x:v>
      </x:c>
      <x:c r="E5" s="10" t="str">
        <x:v>108×108×43.3 mm; wall 2.4; PCB pillars topZ38; fan cradle40.6 internal width; antenna opening23×12.6.</x:v>
      </x:c>
      <x:c r="F5" s="10" t="str">
        <x:v>Rigid PC/GF-like Black</x:v>
      </x:c>
      <x:c r="G5" s="10" t="str">
        <x:v>Support PCB, fan, captive nuts and device.
AssemblyZ0–43.3.</x:v>
      </x:c>
      <x:c r="H5" s="10" t="str">
        <x:v>P1</x:v>
      </x:c>
      <x:c r="I5" s="10" t="str"/>
      <x:c r="J5" s="10" t="str">
        <x:v>01_base_BLACK.stl</x:v>
      </x:c>
      <x:c r="K5" s="10" t="str">
        <x:v>Verify PCB/antenna fit, 0.66-mm nominal insertion gap, fan and nut-pocket tolerances.
CAD; ASM; STL</x:v>
      </x:c>
      <x:c r="L5" s="10" t="str">
        <x:v>Required</x:v>
      </x:c>
    </x:row>
    <x:row r="6" ht="78" customHeight="1">
      <x:c r="A6" s="10" t="str">
        <x:v>02</x:v>
      </x:c>
      <x:c r="B6" s="10" t="str">
        <x:v>Black hood with integral well carrier</x:v>
      </x:c>
      <x:c r="C6" s="10" t="n">
        <x:v>1</x:v>
      </x:c>
      <x:c r="D6" s="10" t="str">
        <x:v>108 × 108 × 23.2</x:v>
      </x:c>
      <x:c r="E6" s="10" t="str">
        <x:v>Bounding size 108×108×23.2 mm; carrier20×18; slots5.3×4.1; minimum shared web1.2; filter pocket5.4×4.4.</x:v>
      </x:c>
      <x:c r="F6" s="10" t="str">
        <x:v>Rigid PC/GF-like Black</x:v>
      </x:c>
      <x:c r="G6" s="10" t="str">
        <x:v>Enclose well sides, register wells and support filter.
AssemblyZ40.8–64; carrierZ44.2–55.5; lower optical band open.</x:v>
      </x:c>
      <x:c r="H6" s="10" t="str">
        <x:v>P2</x:v>
      </x:c>
      <x:c r="I6" s="10" t="str"/>
      <x:c r="J6" s="10" t="str">
        <x:v>02_black_hood_BLACK.stl</x:v>
      </x:c>
      <x:c r="K6" s="10" t="str">
        <x:v>Nominal slot clearance0.15 mm/side; verify cured dimensions, opacity470/520 nm, component relief and PD-seal compression.
CAD; ASM; STL</x:v>
      </x:c>
      <x:c r="L6" s="10" t="str">
        <x:v>Required</x:v>
      </x:c>
    </x:row>
    <x:row r="7" ht="78" customHeight="1">
      <x:c r="A7" s="10" t="str">
        <x:v>03</x:v>
      </x:c>
      <x:c r="B7" s="10" t="str">
        <x:v>Gas-path lid</x:v>
      </x:c>
      <x:c r="C7" s="10" t="n">
        <x:v>1</x:v>
      </x:c>
      <x:c r="D7" s="10" t="str">
        <x:v>108 × 108 × 8.1</x:v>
      </x:c>
      <x:c r="E7" s="10" t="str">
        <x:v>Bounding108×108×8.1 mm; shared plenum14.8×12, Z57.3–62.5; integral shelf7.2×8×1.2; tailsID2.4/OD3.4/ridge4 mm.</x:v>
      </x:c>
      <x:c r="F7" s="10" t="str">
        <x:v>Rigid PC/GF-like Black</x:v>
      </x:c>
      <x:c r="G7" s="10" t="str">
        <x:v>Open for well replacement, deflect inlet and form shared gas path.
AssemblyZ57.9–66; inlet-X/outlet+X, axisZ60.8.</x:v>
      </x:c>
      <x:c r="H7" s="10" t="str">
        <x:v>P2</x:v>
      </x:c>
      <x:c r="I7" s="10" t="str"/>
      <x:c r="J7" s="10" t="str">
        <x:v>03_gas_lid_BLACK.stl</x:v>
      </x:c>
      <x:c r="K7" s="10" t="str">
        <x:v>Qualify0.5-mm tail walls, ~4.8-mm coupling engagement, bore cleaning, seal flatness and VOC compatibility; no sterilization certification.
CAD; ASM; STL</x:v>
      </x:c>
      <x:c r="L7" s="10" t="str">
        <x:v>Required</x:v>
      </x:c>
    </x:row>
    <x:row r="8" ht="108" customHeight="1">
      <x:c r="A8" s="10" t="str">
        <x:v>04</x:v>
      </x:c>
      <x:c r="B8" s="10" t="str">
        <x:v>Clear well NE</x:v>
      </x:c>
      <x:c r="C8" s="10" t="n">
        <x:v>1</x:v>
      </x:c>
      <x:c r="D8" s="10" t="str">
        <x:v>5.7 × 4.5 × 13</x:v>
      </x:c>
      <x:c r="E8" s="10" t="str">
        <x:v>Including flange5.7×4.5×13 mm; body5×3.8; liquid cavity4×2.8×12.5; flat floor 0.5/sidewall0.5; nominal100 µL/geometric brim140 µL.</x:v>
      </x:c>
      <x:c r="F8" s="10" t="str">
        <x:v>Aqua Clear Plus</x:v>
      </x:c>
      <x:c r="G8" s="10" t="str">
        <x:v>Individually removable liquid vessel; gas phase shared.
Center(3.3, 2.65); outer floorZ42.5, inner floorZ43, topZ55.5; flange outward.</x:v>
      </x:c>
      <x:c r="H8" s="10" t="str">
        <x:v>P3</x:v>
      </x:c>
      <x:c r="I8" s="10" t="str"/>
      <x:c r="J8" s="10" t="str">
        <x:v>04_well_NE_CLEAR.stl</x:v>
      </x:c>
      <x:c r="K8" s="10" t="str">
        <x:v>Aqua Clear Plus for fit/optical-material qualification only; transmission, tint/autofluorescence, leachables, cell compatibility and seal unverified. Four oriented parts must not be interchanged by rotation or scaled.
CAD; ASM; STL</x:v>
      </x:c>
      <x:c r="L8" s="10" t="str">
        <x:v>Required</x:v>
      </x:c>
    </x:row>
    <x:row r="9" ht="108" customHeight="1">
      <x:c r="A9" s="10" t="str">
        <x:v>05</x:v>
      </x:c>
      <x:c r="B9" s="10" t="str">
        <x:v>Clear well NW</x:v>
      </x:c>
      <x:c r="C9" s="10" t="n">
        <x:v>1</x:v>
      </x:c>
      <x:c r="D9" s="10" t="str">
        <x:v>5.7 × 4.5 × 13</x:v>
      </x:c>
      <x:c r="E9" s="10" t="str">
        <x:v>Including flange5.7×4.5×13 mm; body5×3.8; liquid cavity4×2.8×12.5; flat floor 0.5/sidewall0.5; nominal100 µL/geometric brim140 µL.</x:v>
      </x:c>
      <x:c r="F9" s="10" t="str">
        <x:v>Aqua Clear Plus</x:v>
      </x:c>
      <x:c r="G9" s="10" t="str">
        <x:v>Individually removable liquid vessel; gas phase shared.
Center(-3.3, 2.65); outer floorZ42.5, inner floorZ43, topZ55.5; flange outward.</x:v>
      </x:c>
      <x:c r="H9" s="10" t="str">
        <x:v>P3</x:v>
      </x:c>
      <x:c r="I9" s="10" t="str"/>
      <x:c r="J9" s="10" t="str">
        <x:v>05_well_NW_CLEAR.stl</x:v>
      </x:c>
      <x:c r="K9" s="10" t="str">
        <x:v>Aqua Clear Plus for fit/optical-material qualification only; transmission, tint/autofluorescence, leachables, cell compatibility and seal unverified. Four oriented parts must not be interchanged by rotation or scaled.
CAD; ASM; STL</x:v>
      </x:c>
      <x:c r="L9" s="10" t="str">
        <x:v>Required</x:v>
      </x:c>
    </x:row>
    <x:row r="10" ht="108" customHeight="1">
      <x:c r="A10" s="10" t="str">
        <x:v>06</x:v>
      </x:c>
      <x:c r="B10" s="10" t="str">
        <x:v>Clear well SW</x:v>
      </x:c>
      <x:c r="C10" s="10" t="n">
        <x:v>1</x:v>
      </x:c>
      <x:c r="D10" s="10" t="str">
        <x:v>5.7 × 4.5 × 13</x:v>
      </x:c>
      <x:c r="E10" s="10" t="str">
        <x:v>Including flange5.7×4.5×13 mm; body5×3.8; liquid cavity4×2.8×12.5; flat floor 0.5/sidewall0.5; nominal100 µL/geometric brim140 µL.</x:v>
      </x:c>
      <x:c r="F10" s="10" t="str">
        <x:v>Aqua Clear Plus</x:v>
      </x:c>
      <x:c r="G10" s="10" t="str">
        <x:v>Individually removable liquid vessel; gas phase shared.
Center(-3.3, -2.65); outer floorZ42.5, inner floorZ43, topZ55.5; flange outward.</x:v>
      </x:c>
      <x:c r="H10" s="10" t="str">
        <x:v>P3</x:v>
      </x:c>
      <x:c r="I10" s="10" t="str"/>
      <x:c r="J10" s="10" t="str">
        <x:v>06_well_SW_CLEAR.stl</x:v>
      </x:c>
      <x:c r="K10" s="10" t="str">
        <x:v>Aqua Clear Plus for fit/optical-material qualification only; transmission, tint/autofluorescence, leachables, cell compatibility and seal unverified. Four oriented parts must not be interchanged by rotation or scaled.
CAD; ASM; STL</x:v>
      </x:c>
      <x:c r="L10" s="10" t="str">
        <x:v>Required</x:v>
      </x:c>
    </x:row>
    <x:row r="11" ht="108" customHeight="1">
      <x:c r="A11" s="10" t="str">
        <x:v>07</x:v>
      </x:c>
      <x:c r="B11" s="10" t="str">
        <x:v>Clear well SE</x:v>
      </x:c>
      <x:c r="C11" s="10" t="n">
        <x:v>1</x:v>
      </x:c>
      <x:c r="D11" s="10" t="str">
        <x:v>5.7 × 4.5 × 13</x:v>
      </x:c>
      <x:c r="E11" s="10" t="str">
        <x:v>Including flange5.7×4.5×13 mm; body5×3.8; liquid cavity4×2.8×12.5; flat floor 0.5/sidewall0.5; nominal100 µL/geometric brim140 µL.</x:v>
      </x:c>
      <x:c r="F11" s="10" t="str">
        <x:v>Aqua Clear Plus</x:v>
      </x:c>
      <x:c r="G11" s="10" t="str">
        <x:v>Individually removable liquid vessel; gas phase shared.
Center(3.3, -2.65); outer floorZ42.5, inner floorZ43, topZ55.5; flange outward.</x:v>
      </x:c>
      <x:c r="H11" s="10" t="str">
        <x:v>P3</x:v>
      </x:c>
      <x:c r="I11" s="10" t="str"/>
      <x:c r="J11" s="10" t="str">
        <x:v>07_well_SE_CLEAR.stl</x:v>
      </x:c>
      <x:c r="K11" s="10" t="str">
        <x:v>Aqua Clear Plus for fit/optical-material qualification only; transmission, tint/autofluorescence, leachables, cell compatibility and seal unverified. Four oriented parts must not be interchanged by rotation or scaled.
CAD; ASM; STL</x:v>
      </x:c>
      <x:c r="L11" s="10" t="str">
        <x:v>Required</x:v>
      </x:c>
    </x:row>
    <x:row r="12" ht="78" customHeight="1">
      <x:c r="A12" s="10" t="str">
        <x:v>08</x:v>
      </x:c>
      <x:c r="B12" s="10" t="str">
        <x:v>Four-hole compression plate</x:v>
      </x:c>
      <x:c r="C12" s="10" t="n">
        <x:v>1</x:v>
      </x:c>
      <x:c r="D12" s="10" t="str">
        <x:v>20 × 18 × 1.2</x:v>
      </x:c>
      <x:c r="E12" s="10" t="str">
        <x:v>20×18×1.2 mm; four4×2.8 openings centered(±3.3, ±2.65).</x:v>
      </x:c>
      <x:c r="F12" s="10" t="str">
        <x:v>Rigid PC/GF-like Black</x:v>
      </x:c>
      <x:c r="G12" s="10" t="str">
        <x:v>Distribute cap load onto four well-mouth gaskets.
Above lower four-hole gasket/below upper ring, assemblyZ56.1–57.3.</x:v>
      </x:c>
      <x:c r="H12" s="10" t="str">
        <x:v>P2</x:v>
      </x:c>
      <x:c r="I12" s="10" t="str"/>
      <x:c r="J12" s="10" t="str">
        <x:v>08_gas_compression_plate_BLACK.stl</x:v>
      </x:c>
      <x:c r="K12" s="10" t="str">
        <x:v>Verify flatness, hole registration, compression and cracks; do not omit or compensate warpage by over-tightening.
CAD; ASM; STL</x:v>
      </x:c>
      <x:c r="L12" s="10" t="str">
        <x:v>Required</x:v>
      </x:c>
    </x:row>
    <x:row r="13" ht="28" customHeight="1">
      <x:c r="A13" s="2"/>
      <x:c r="B13" s="2"/>
      <x:c r="C13" s="2"/>
      <x:c r="D13" s="2"/>
      <x:c r="E13" s="2"/>
      <x:c r="F13" s="2"/>
      <x:c r="G13" s="2"/>
      <x:c r="H13" s="2"/>
      <x:c r="I13" s="2"/>
      <x:c r="J13" s="2"/>
      <x:c r="K13" s="2"/>
      <x:c r="L13" s="2"/>
    </x:row>
    <x:row r="14" ht="28" customHeight="1">
      <x:c r="A14" s="2"/>
      <x:c r="B14" s="2"/>
      <x:c r="C14" s="2"/>
      <x:c r="D14" s="2"/>
      <x:c r="E14" s="2"/>
      <x:c r="F14" s="2"/>
      <x:c r="G14" s="2"/>
      <x:c r="H14" s="2"/>
      <x:c r="I14" s="2"/>
      <x:c r="J14" s="2"/>
      <x:c r="K14" s="2"/>
      <x:c r="L14" s="2"/>
    </x:row>
    <x:row r="15" ht="28" customHeight="1">
      <x:c r="A15" s="2"/>
      <x:c r="B15" s="2"/>
      <x:c r="C15" s="2"/>
      <x:c r="D15" s="2"/>
      <x:c r="E15" s="2"/>
      <x:c r="F15" s="2"/>
      <x:c r="G15" s="2"/>
      <x:c r="H15" s="2"/>
      <x:c r="I15" s="2"/>
      <x:c r="J15" s="2"/>
      <x:c r="K15" s="2"/>
      <x:c r="L15" s="2"/>
    </x:row>
    <x:row r="16" ht="28" customHeight="1">
      <x:c r="A16" s="2"/>
      <x:c r="B16" s="2"/>
      <x:c r="C16" s="2"/>
      <x:c r="D16" s="2"/>
      <x:c r="E16" s="2"/>
      <x:c r="F16" s="2"/>
      <x:c r="G16" s="2"/>
      <x:c r="H16" s="2"/>
      <x:c r="I16" s="2"/>
      <x:c r="J16" s="2"/>
      <x:c r="K16" s="2"/>
      <x:c r="L16" s="2"/>
    </x:row>
    <x:row r="17" ht="28" customHeight="1">
      <x:c r="A17" s="2"/>
      <x:c r="B17" s="2"/>
      <x:c r="C17" s="2"/>
      <x:c r="D17" s="2"/>
      <x:c r="E17" s="2"/>
      <x:c r="F17" s="2"/>
      <x:c r="G17" s="2"/>
      <x:c r="H17" s="2"/>
      <x:c r="I17" s="2"/>
      <x:c r="J17" s="2"/>
      <x:c r="K17" s="2"/>
      <x:c r="L17" s="2"/>
    </x:row>
    <x:row r="18" ht="28" customHeight="1">
      <x:c r="A18" s="2"/>
      <x:c r="B18" s="2"/>
      <x:c r="C18" s="2"/>
      <x:c r="D18" s="2"/>
      <x:c r="E18" s="2"/>
      <x:c r="F18" s="2"/>
      <x:c r="G18" s="2"/>
      <x:c r="H18" s="2"/>
      <x:c r="I18" s="2"/>
      <x:c r="J18" s="2"/>
      <x:c r="K18" s="2"/>
      <x:c r="L18" s="2"/>
    </x:row>
    <x:row r="19" ht="28" customHeight="1">
      <x:c r="A19" s="2"/>
      <x:c r="B19" s="2"/>
      <x:c r="C19" s="2"/>
      <x:c r="D19" s="2"/>
      <x:c r="E19" s="2"/>
      <x:c r="F19" s="2"/>
      <x:c r="G19" s="2"/>
      <x:c r="H19" s="2"/>
      <x:c r="I19" s="2"/>
      <x:c r="J19" s="2"/>
      <x:c r="K19" s="2"/>
      <x:c r="L19" s="2"/>
    </x:row>
    <x:row r="20" ht="28" customHeight="1">
      <x:c r="A20" s="2"/>
      <x:c r="B20" s="2"/>
      <x:c r="C20" s="2"/>
      <x:c r="D20" s="2"/>
      <x:c r="E20" s="2"/>
      <x:c r="F20" s="2"/>
      <x:c r="G20" s="2"/>
      <x:c r="H20" s="2"/>
      <x:c r="I20" s="2"/>
      <x:c r="J20" s="2"/>
      <x:c r="K20" s="2"/>
      <x:c r="L20" s="2"/>
    </x:row>
    <x:row r="21" ht="28" customHeight="1">
      <x:c r="A21" s="2"/>
      <x:c r="B21" s="2"/>
      <x:c r="C21" s="2"/>
      <x:c r="D21" s="2"/>
      <x:c r="E21" s="2"/>
      <x:c r="F21" s="2"/>
      <x:c r="G21" s="2"/>
      <x:c r="H21" s="2"/>
      <x:c r="I21" s="2"/>
      <x:c r="J21" s="2"/>
      <x:c r="K21" s="2"/>
      <x:c r="L21" s="2"/>
    </x:row>
    <x:row r="22" ht="28" customHeight="1">
      <x:c r="A22" s="2"/>
      <x:c r="B22" s="2"/>
      <x:c r="C22" s="2"/>
      <x:c r="D22" s="2"/>
      <x:c r="E22" s="2"/>
      <x:c r="F22" s="2"/>
      <x:c r="G22" s="2"/>
      <x:c r="H22" s="2"/>
      <x:c r="I22" s="2"/>
      <x:c r="J22" s="2"/>
      <x:c r="K22" s="2"/>
      <x:c r="L22" s="2"/>
    </x:row>
    <x:row r="23" ht="28" customHeight="1">
      <x:c r="A23" s="2"/>
      <x:c r="B23" s="2"/>
      <x:c r="C23" s="2"/>
      <x:c r="D23" s="2"/>
      <x:c r="E23" s="2"/>
      <x:c r="F23" s="2"/>
      <x:c r="G23" s="2"/>
      <x:c r="H23" s="2"/>
      <x:c r="I23" s="2"/>
      <x:c r="J23" s="2"/>
      <x:c r="K23" s="2"/>
      <x:c r="L23" s="2"/>
    </x:row>
    <x:row r="24" ht="28" customHeight="1">
      <x:c r="A24" s="2"/>
      <x:c r="B24" s="2"/>
      <x:c r="C24" s="2"/>
      <x:c r="D24" s="2"/>
      <x:c r="E24" s="2"/>
      <x:c r="F24" s="2"/>
      <x:c r="G24" s="2"/>
      <x:c r="H24" s="2"/>
      <x:c r="I24" s="2"/>
      <x:c r="J24" s="2"/>
      <x:c r="K24" s="2"/>
      <x:c r="L24" s="2"/>
    </x:row>
    <x:row r="25" ht="28" customHeight="1">
      <x:c r="A25" s="2"/>
      <x:c r="B25" s="2"/>
      <x:c r="C25" s="2"/>
      <x:c r="D25" s="2"/>
      <x:c r="E25" s="2"/>
      <x:c r="F25" s="2"/>
      <x:c r="G25" s="2"/>
      <x:c r="H25" s="2"/>
      <x:c r="I25" s="2"/>
      <x:c r="J25" s="2"/>
      <x:c r="K25" s="2"/>
      <x:c r="L25" s="2"/>
    </x:row>
    <x:row r="26" ht="28" customHeight="1">
      <x:c r="A26" s="2"/>
      <x:c r="B26" s="2"/>
      <x:c r="C26" s="2"/>
      <x:c r="D26" s="2"/>
      <x:c r="E26" s="2"/>
      <x:c r="F26" s="2"/>
      <x:c r="G26" s="2"/>
      <x:c r="H26" s="2"/>
      <x:c r="I26" s="2"/>
      <x:c r="J26" s="2"/>
      <x:c r="K26" s="2"/>
      <x:c r="L26" s="2"/>
    </x:row>
    <x:row r="27" ht="28" customHeight="1">
      <x:c r="A27" s="2"/>
      <x:c r="B27" s="2"/>
      <x:c r="C27" s="2"/>
      <x:c r="D27" s="2"/>
      <x:c r="E27" s="2"/>
      <x:c r="F27" s="2"/>
      <x:c r="G27" s="2"/>
      <x:c r="H27" s="2"/>
      <x:c r="I27" s="2"/>
      <x:c r="J27" s="2"/>
      <x:c r="K27" s="2"/>
      <x:c r="L27" s="2"/>
    </x:row>
    <x:row r="28" ht="28" customHeight="1">
      <x:c r="A28" s="2"/>
      <x:c r="B28" s="2"/>
      <x:c r="C28" s="2"/>
      <x:c r="D28" s="2"/>
      <x:c r="E28" s="2"/>
      <x:c r="F28" s="2"/>
      <x:c r="G28" s="2"/>
      <x:c r="H28" s="2"/>
      <x:c r="I28" s="2"/>
      <x:c r="J28" s="2"/>
      <x:c r="K28" s="2"/>
      <x:c r="L28" s="2"/>
    </x:row>
    <x:row r="29" ht="28" customHeight="1">
      <x:c r="A29" s="2"/>
      <x:c r="B29" s="2"/>
      <x:c r="C29" s="2"/>
      <x:c r="D29" s="2"/>
      <x:c r="E29" s="2"/>
      <x:c r="F29" s="2"/>
      <x:c r="G29" s="2"/>
      <x:c r="H29" s="2"/>
      <x:c r="I29" s="2"/>
      <x:c r="J29" s="2"/>
      <x:c r="K29" s="2"/>
      <x:c r="L29" s="2"/>
    </x:row>
    <x:row r="30" ht="28" customHeight="1">
      <x:c r="A30" s="2"/>
      <x:c r="B30" s="2"/>
      <x:c r="C30" s="2"/>
      <x:c r="D30" s="2"/>
      <x:c r="E30" s="2"/>
      <x:c r="F30" s="2"/>
      <x:c r="G30" s="2"/>
      <x:c r="H30" s="2"/>
      <x:c r="I30" s="2"/>
      <x:c r="J30" s="2"/>
      <x:c r="K30" s="2"/>
      <x:c r="L30" s="2"/>
    </x:row>
    <x:row r="31" ht="28" customHeight="1">
      <x:c r="A31" s="2"/>
      <x:c r="B31" s="2"/>
      <x:c r="C31" s="2"/>
      <x:c r="D31" s="2"/>
      <x:c r="E31" s="2"/>
      <x:c r="F31" s="2"/>
      <x:c r="G31" s="2"/>
      <x:c r="H31" s="2"/>
      <x:c r="I31" s="2"/>
      <x:c r="J31" s="2"/>
      <x:c r="K31" s="2"/>
      <x:c r="L31" s="2"/>
    </x:row>
    <x:row r="32" ht="28" customHeight="1">
      <x:c r="A32" s="2"/>
      <x:c r="B32" s="2"/>
      <x:c r="C32" s="2"/>
      <x:c r="D32" s="2"/>
      <x:c r="E32" s="2"/>
      <x:c r="F32" s="2"/>
      <x:c r="G32" s="2"/>
      <x:c r="H32" s="2"/>
      <x:c r="I32" s="2"/>
      <x:c r="J32" s="2"/>
      <x:c r="K32" s="2"/>
      <x:c r="L32" s="2"/>
    </x:row>
    <x:row r="33" ht="28" customHeight="1">
      <x:c r="A33" s="2"/>
      <x:c r="B33" s="2"/>
      <x:c r="C33" s="2"/>
      <x:c r="D33" s="2"/>
      <x:c r="E33" s="2"/>
      <x:c r="F33" s="2"/>
      <x:c r="G33" s="2"/>
      <x:c r="H33" s="2"/>
      <x:c r="I33" s="2"/>
      <x:c r="J33" s="2"/>
      <x:c r="K33" s="2"/>
      <x:c r="L33" s="2"/>
    </x:row>
    <x:row r="34" ht="28" customHeight="1">
      <x:c r="A34" s="2"/>
      <x:c r="B34" s="2"/>
      <x:c r="C34" s="2"/>
      <x:c r="D34" s="2"/>
      <x:c r="E34" s="2"/>
      <x:c r="F34" s="2"/>
      <x:c r="G34" s="2"/>
      <x:c r="H34" s="2"/>
      <x:c r="I34" s="2"/>
      <x:c r="J34" s="2"/>
      <x:c r="K34" s="2"/>
      <x:c r="L34" s="2"/>
    </x:row>
    <x:row r="35" ht="28" customHeight="1">
      <x:c r="A35" s="2"/>
      <x:c r="B35" s="2"/>
      <x:c r="C35" s="2"/>
      <x:c r="D35" s="2"/>
      <x:c r="E35" s="2"/>
      <x:c r="F35" s="2"/>
      <x:c r="G35" s="2"/>
      <x:c r="H35" s="2"/>
      <x:c r="I35" s="2"/>
      <x:c r="J35" s="2"/>
      <x:c r="K35" s="2"/>
      <x:c r="L35" s="2"/>
    </x:row>
    <x:row r="36" ht="28" customHeight="1">
      <x:c r="A36" s="2"/>
      <x:c r="B36" s="2"/>
      <x:c r="C36" s="2"/>
      <x:c r="D36" s="2"/>
      <x:c r="E36" s="2"/>
      <x:c r="F36" s="2"/>
      <x:c r="G36" s="2"/>
      <x:c r="H36" s="2"/>
      <x:c r="I36" s="2"/>
      <x:c r="J36" s="2"/>
      <x:c r="K36" s="2"/>
      <x:c r="L36" s="2"/>
    </x:row>
    <x:row r="37" ht="28" customHeight="1">
      <x:c r="A37" s="2"/>
      <x:c r="B37" s="2"/>
      <x:c r="C37" s="2"/>
      <x:c r="D37" s="2"/>
      <x:c r="E37" s="2"/>
      <x:c r="F37" s="2"/>
      <x:c r="G37" s="2"/>
      <x:c r="H37" s="2"/>
      <x:c r="I37" s="2"/>
      <x:c r="J37" s="2"/>
      <x:c r="K37" s="2"/>
      <x:c r="L37" s="2"/>
    </x:row>
    <x:row r="38" ht="28" customHeight="1">
      <x:c r="A38" s="2"/>
      <x:c r="B38" s="2"/>
      <x:c r="C38" s="2"/>
      <x:c r="D38" s="2"/>
      <x:c r="E38" s="2"/>
      <x:c r="F38" s="2"/>
      <x:c r="G38" s="2"/>
      <x:c r="H38" s="2"/>
      <x:c r="I38" s="2"/>
      <x:c r="J38" s="2"/>
      <x:c r="K38" s="2"/>
      <x:c r="L38" s="2"/>
    </x:row>
    <x:row r="39" ht="28" customHeight="1">
      <x:c r="A39" s="2"/>
      <x:c r="B39" s="2"/>
      <x:c r="C39" s="2"/>
      <x:c r="D39" s="2"/>
      <x:c r="E39" s="2"/>
      <x:c r="F39" s="2"/>
      <x:c r="G39" s="2"/>
      <x:c r="H39" s="2"/>
      <x:c r="I39" s="2"/>
      <x:c r="J39" s="2"/>
      <x:c r="K39" s="2"/>
      <x:c r="L39" s="2"/>
    </x:row>
    <x:row r="40" ht="28" customHeight="1">
      <x:c r="A40" s="2"/>
      <x:c r="B40" s="2"/>
      <x:c r="C40" s="2"/>
      <x:c r="D40" s="2"/>
      <x:c r="E40" s="2"/>
      <x:c r="F40" s="2"/>
      <x:c r="G40" s="2"/>
      <x:c r="H40" s="2"/>
      <x:c r="I40" s="2"/>
      <x:c r="J40" s="2"/>
      <x:c r="K40" s="2"/>
      <x:c r="L40" s="2"/>
    </x:row>
    <x:row r="41" ht="28" customHeight="1">
      <x:c r="A41" s="2"/>
      <x:c r="B41" s="2"/>
      <x:c r="C41" s="2"/>
      <x:c r="D41" s="2"/>
      <x:c r="E41" s="2"/>
      <x:c r="F41" s="2"/>
      <x:c r="G41" s="2"/>
      <x:c r="H41" s="2"/>
      <x:c r="I41" s="2"/>
      <x:c r="J41" s="2"/>
      <x:c r="K41" s="2"/>
      <x:c r="L41" s="2"/>
    </x:row>
    <x:row r="42" ht="28" customHeight="1">
      <x:c r="A42" s="2"/>
      <x:c r="B42" s="2"/>
      <x:c r="C42" s="2"/>
      <x:c r="D42" s="2"/>
      <x:c r="E42" s="2"/>
      <x:c r="F42" s="2"/>
      <x:c r="G42" s="2"/>
      <x:c r="H42" s="2"/>
      <x:c r="I42" s="2"/>
      <x:c r="J42" s="2"/>
      <x:c r="K42" s="2"/>
      <x:c r="L42" s="2"/>
    </x:row>
    <x:row r="43" ht="28" customHeight="1">
      <x:c r="A43" s="2"/>
      <x:c r="B43" s="2"/>
      <x:c r="C43" s="2"/>
      <x:c r="D43" s="2"/>
      <x:c r="E43" s="2"/>
      <x:c r="F43" s="2"/>
      <x:c r="G43" s="2"/>
      <x:c r="H43" s="2"/>
      <x:c r="I43" s="2"/>
      <x:c r="J43" s="2"/>
      <x:c r="K43" s="2"/>
      <x:c r="L43" s="2"/>
    </x:row>
    <x:row r="44" ht="28" customHeight="1">
      <x:c r="A44" s="2"/>
      <x:c r="B44" s="2"/>
      <x:c r="C44" s="2"/>
      <x:c r="D44" s="2"/>
      <x:c r="E44" s="2"/>
      <x:c r="F44" s="2"/>
      <x:c r="G44" s="2"/>
      <x:c r="H44" s="2"/>
      <x:c r="I44" s="2"/>
      <x:c r="J44" s="2"/>
      <x:c r="K44" s="2"/>
      <x:c r="L44" s="2"/>
    </x:row>
    <x:row r="45" ht="28" customHeight="1">
      <x:c r="A45" s="2"/>
      <x:c r="B45" s="2"/>
      <x:c r="C45" s="2"/>
      <x:c r="D45" s="2"/>
      <x:c r="E45" s="2"/>
      <x:c r="F45" s="2"/>
      <x:c r="G45" s="2"/>
      <x:c r="H45" s="2"/>
      <x:c r="I45" s="2"/>
      <x:c r="J45" s="2"/>
      <x:c r="K45" s="2"/>
      <x:c r="L45" s="2"/>
    </x:row>
    <x:row r="46" ht="28" customHeight="1">
      <x:c r="A46" s="2"/>
      <x:c r="B46" s="2"/>
      <x:c r="C46" s="2"/>
      <x:c r="D46" s="2"/>
      <x:c r="E46" s="2"/>
      <x:c r="F46" s="2"/>
      <x:c r="G46" s="2"/>
      <x:c r="H46" s="2"/>
      <x:c r="I46" s="2"/>
      <x:c r="J46" s="2"/>
      <x:c r="K46" s="2"/>
      <x:c r="L46" s="2"/>
    </x:row>
    <x:row r="47" ht="28" customHeight="1">
      <x:c r="A47" s="2"/>
      <x:c r="B47" s="2"/>
      <x:c r="C47" s="2"/>
      <x:c r="D47" s="2"/>
      <x:c r="E47" s="2"/>
      <x:c r="F47" s="2"/>
      <x:c r="G47" s="2"/>
      <x:c r="H47" s="2"/>
      <x:c r="I47" s="2"/>
      <x:c r="J47" s="2"/>
      <x:c r="K47" s="2"/>
      <x:c r="L47" s="2"/>
    </x:row>
    <x:row r="48" ht="28" customHeight="1">
      <x:c r="A48" s="2"/>
      <x:c r="B48" s="2"/>
      <x:c r="C48" s="2"/>
      <x:c r="D48" s="2"/>
      <x:c r="E48" s="2"/>
      <x:c r="F48" s="2"/>
      <x:c r="G48" s="2"/>
      <x:c r="H48" s="2"/>
      <x:c r="I48" s="2"/>
      <x:c r="J48" s="2"/>
      <x:c r="K48" s="2"/>
      <x:c r="L48" s="2"/>
    </x:row>
    <x:row r="49" ht="28" customHeight="1">
      <x:c r="A49" s="2"/>
      <x:c r="B49" s="2"/>
      <x:c r="C49" s="2"/>
      <x:c r="D49" s="2"/>
      <x:c r="E49" s="2"/>
      <x:c r="F49" s="2"/>
      <x:c r="G49" s="2"/>
      <x:c r="H49" s="2"/>
      <x:c r="I49" s="2"/>
      <x:c r="J49" s="2"/>
      <x:c r="K49" s="2"/>
      <x:c r="L49" s="2"/>
    </x:row>
    <x:row r="50" ht="28" customHeight="1">
      <x:c r="A50" s="2"/>
      <x:c r="B50" s="2"/>
      <x:c r="C50" s="2"/>
      <x:c r="D50" s="2"/>
      <x:c r="E50" s="2"/>
      <x:c r="F50" s="2"/>
      <x:c r="G50" s="2"/>
      <x:c r="H50" s="2"/>
      <x:c r="I50" s="2"/>
      <x:c r="J50" s="2"/>
      <x:c r="K50" s="2"/>
      <x:c r="L50" s="2"/>
    </x:row>
    <x:row r="51" ht="28" customHeight="1">
      <x:c r="A51" s="2"/>
      <x:c r="B51" s="2"/>
      <x:c r="C51" s="2"/>
      <x:c r="D51" s="2"/>
      <x:c r="E51" s="2"/>
      <x:c r="F51" s="2"/>
      <x:c r="G51" s="2"/>
      <x:c r="H51" s="2"/>
      <x:c r="I51" s="2"/>
      <x:c r="J51" s="2"/>
      <x:c r="K51" s="2"/>
      <x:c r="L51" s="2"/>
    </x:row>
    <x:row r="52" ht="28" customHeight="1">
      <x:c r="A52" s="2"/>
      <x:c r="B52" s="2"/>
      <x:c r="C52" s="2"/>
      <x:c r="D52" s="2"/>
      <x:c r="E52" s="2"/>
      <x:c r="F52" s="2"/>
      <x:c r="G52" s="2"/>
      <x:c r="H52" s="2"/>
      <x:c r="I52" s="2"/>
      <x:c r="J52" s="2"/>
      <x:c r="K52" s="2"/>
      <x:c r="L52" s="2"/>
    </x:row>
    <x:row r="53" ht="28" customHeight="1">
      <x:c r="A53" s="2"/>
      <x:c r="B53" s="2"/>
      <x:c r="C53" s="2"/>
      <x:c r="D53" s="2"/>
      <x:c r="E53" s="2"/>
      <x:c r="F53" s="2"/>
      <x:c r="G53" s="2"/>
      <x:c r="H53" s="2"/>
      <x:c r="I53" s="2"/>
      <x:c r="J53" s="2"/>
      <x:c r="K53" s="2"/>
      <x:c r="L53" s="2"/>
    </x:row>
    <x:row r="54" ht="28" customHeight="1">
      <x:c r="A54" s="2"/>
      <x:c r="B54" s="2"/>
      <x:c r="C54" s="2"/>
      <x:c r="D54" s="2"/>
      <x:c r="E54" s="2"/>
      <x:c r="F54" s="2"/>
      <x:c r="G54" s="2"/>
      <x:c r="H54" s="2"/>
      <x:c r="I54" s="2"/>
      <x:c r="J54" s="2"/>
      <x:c r="K54" s="2"/>
      <x:c r="L54" s="2"/>
    </x:row>
    <x:row r="55" ht="28" customHeight="1">
      <x:c r="A55" s="2"/>
      <x:c r="B55" s="2"/>
      <x:c r="C55" s="2"/>
      <x:c r="D55" s="2"/>
      <x:c r="E55" s="2"/>
      <x:c r="F55" s="2"/>
      <x:c r="G55" s="2"/>
      <x:c r="H55" s="2"/>
      <x:c r="I55" s="2"/>
      <x:c r="J55" s="2"/>
      <x:c r="K55" s="2"/>
      <x:c r="L55" s="2"/>
    </x:row>
    <x:row r="56" ht="28" customHeight="1">
      <x:c r="A56" s="2"/>
      <x:c r="B56" s="2"/>
      <x:c r="C56" s="2"/>
      <x:c r="D56" s="2"/>
      <x:c r="E56" s="2"/>
      <x:c r="F56" s="2"/>
      <x:c r="G56" s="2"/>
      <x:c r="H56" s="2"/>
      <x:c r="I56" s="2"/>
      <x:c r="J56" s="2"/>
      <x:c r="K56" s="2"/>
      <x:c r="L56" s="2"/>
    </x:row>
    <x:row r="57" ht="28" customHeight="1">
      <x:c r="A57" s="2"/>
      <x:c r="B57" s="2"/>
      <x:c r="C57" s="2"/>
      <x:c r="D57" s="2"/>
      <x:c r="E57" s="2"/>
      <x:c r="F57" s="2"/>
      <x:c r="G57" s="2"/>
      <x:c r="H57" s="2"/>
      <x:c r="I57" s="2"/>
      <x:c r="J57" s="2"/>
      <x:c r="K57" s="2"/>
      <x:c r="L57" s="2"/>
    </x:row>
    <x:row r="58" ht="28" customHeight="1">
      <x:c r="A58" s="2"/>
      <x:c r="B58" s="2"/>
      <x:c r="C58" s="2"/>
      <x:c r="D58" s="2"/>
      <x:c r="E58" s="2"/>
      <x:c r="F58" s="2"/>
      <x:c r="G58" s="2"/>
      <x:c r="H58" s="2"/>
      <x:c r="I58" s="2"/>
      <x:c r="J58" s="2"/>
      <x:c r="K58" s="2"/>
      <x:c r="L58" s="2"/>
    </x:row>
    <x:row r="59" ht="28" customHeight="1">
      <x:c r="A59" s="2"/>
      <x:c r="B59" s="2"/>
      <x:c r="C59" s="2"/>
      <x:c r="D59" s="2"/>
      <x:c r="E59" s="2"/>
      <x:c r="F59" s="2"/>
      <x:c r="G59" s="2"/>
      <x:c r="H59" s="2"/>
      <x:c r="I59" s="2"/>
      <x:c r="J59" s="2"/>
      <x:c r="K59" s="2"/>
      <x:c r="L59" s="2"/>
    </x:row>
    <x:row r="60" ht="28" customHeight="1">
      <x:c r="A60" s="2"/>
      <x:c r="B60" s="2"/>
      <x:c r="C60" s="2"/>
      <x:c r="D60" s="2"/>
      <x:c r="E60" s="2"/>
      <x:c r="F60" s="2"/>
      <x:c r="G60" s="2"/>
      <x:c r="H60" s="2"/>
      <x:c r="I60" s="2"/>
      <x:c r="J60" s="2"/>
      <x:c r="K60" s="2"/>
      <x:c r="L60" s="2"/>
    </x:row>
    <x:row r="61" ht="28" customHeight="1">
      <x:c r="A61" s="2"/>
      <x:c r="B61" s="2"/>
      <x:c r="C61" s="2"/>
      <x:c r="D61" s="2"/>
      <x:c r="E61" s="2"/>
      <x:c r="F61" s="2"/>
      <x:c r="G61" s="2"/>
      <x:c r="H61" s="2"/>
      <x:c r="I61" s="2"/>
      <x:c r="J61" s="2"/>
      <x:c r="K61" s="2"/>
      <x:c r="L61" s="2"/>
    </x:row>
    <x:row r="62" ht="28" customHeight="1">
      <x:c r="A62" s="2"/>
      <x:c r="B62" s="2"/>
      <x:c r="C62" s="2"/>
      <x:c r="D62" s="2"/>
      <x:c r="E62" s="2"/>
      <x:c r="F62" s="2"/>
      <x:c r="G62" s="2"/>
      <x:c r="H62" s="2"/>
      <x:c r="I62" s="2"/>
      <x:c r="J62" s="2"/>
      <x:c r="K62" s="2"/>
      <x:c r="L62" s="2"/>
    </x:row>
    <x:row r="63" ht="28" customHeight="1">
      <x:c r="A63" s="2"/>
      <x:c r="B63" s="2"/>
      <x:c r="C63" s="2"/>
      <x:c r="D63" s="2"/>
      <x:c r="E63" s="2"/>
      <x:c r="F63" s="2"/>
      <x:c r="G63" s="2"/>
      <x:c r="H63" s="2"/>
      <x:c r="I63" s="2"/>
      <x:c r="J63" s="2"/>
      <x:c r="K63" s="2"/>
      <x:c r="L63" s="2"/>
    </x:row>
    <x:row r="64" ht="28" customHeight="1">
      <x:c r="A64" s="2"/>
      <x:c r="B64" s="2"/>
      <x:c r="C64" s="2"/>
      <x:c r="D64" s="2"/>
      <x:c r="E64" s="2"/>
      <x:c r="F64" s="2"/>
      <x:c r="G64" s="2"/>
      <x:c r="H64" s="2"/>
      <x:c r="I64" s="2"/>
      <x:c r="J64" s="2"/>
      <x:c r="K64" s="2"/>
      <x:c r="L64" s="2"/>
    </x:row>
    <x:row r="65" ht="28" customHeight="1">
      <x:c r="A65" s="2"/>
      <x:c r="B65" s="2"/>
      <x:c r="C65" s="2"/>
      <x:c r="D65" s="2"/>
      <x:c r="E65" s="2"/>
      <x:c r="F65" s="2"/>
      <x:c r="G65" s="2"/>
      <x:c r="H65" s="2"/>
      <x:c r="I65" s="2"/>
      <x:c r="J65" s="2"/>
      <x:c r="K65" s="2"/>
      <x:c r="L65" s="2"/>
    </x:row>
    <x:row r="66" ht="28" customHeight="1">
      <x:c r="A66" s="2"/>
      <x:c r="B66" s="2"/>
      <x:c r="C66" s="2"/>
      <x:c r="D66" s="2"/>
      <x:c r="E66" s="2"/>
      <x:c r="F66" s="2"/>
      <x:c r="G66" s="2"/>
      <x:c r="H66" s="2"/>
      <x:c r="I66" s="2"/>
      <x:c r="J66" s="2"/>
      <x:c r="K66" s="2"/>
      <x:c r="L66" s="2"/>
    </x:row>
    <x:row r="67" ht="28" customHeight="1">
      <x:c r="A67" s="2"/>
      <x:c r="B67" s="2"/>
      <x:c r="C67" s="2"/>
      <x:c r="D67" s="2"/>
      <x:c r="E67" s="2"/>
      <x:c r="F67" s="2"/>
      <x:c r="G67" s="2"/>
      <x:c r="H67" s="2"/>
      <x:c r="I67" s="2"/>
      <x:c r="J67" s="2"/>
      <x:c r="K67" s="2"/>
      <x:c r="L67" s="2"/>
    </x:row>
    <x:row r="68" ht="28" customHeight="1">
      <x:c r="A68" s="2"/>
      <x:c r="B68" s="2"/>
      <x:c r="C68" s="2"/>
      <x:c r="D68" s="2"/>
      <x:c r="E68" s="2"/>
      <x:c r="F68" s="2"/>
      <x:c r="G68" s="2"/>
      <x:c r="H68" s="2"/>
      <x:c r="I68" s="2"/>
      <x:c r="J68" s="2"/>
      <x:c r="K68" s="2"/>
      <x:c r="L68" s="2"/>
    </x:row>
    <x:row r="69" ht="28" customHeight="1">
      <x:c r="A69" s="2"/>
      <x:c r="B69" s="2"/>
      <x:c r="C69" s="2"/>
      <x:c r="D69" s="2"/>
      <x:c r="E69" s="2"/>
      <x:c r="F69" s="2"/>
      <x:c r="G69" s="2"/>
      <x:c r="H69" s="2"/>
      <x:c r="I69" s="2"/>
      <x:c r="J69" s="2"/>
      <x:c r="K69" s="2"/>
      <x:c r="L69" s="2"/>
    </x:row>
    <x:row r="70" ht="28" customHeight="1">
      <x:c r="A70" s="2"/>
      <x:c r="B70" s="2"/>
      <x:c r="C70" s="2"/>
      <x:c r="D70" s="2"/>
      <x:c r="E70" s="2"/>
      <x:c r="F70" s="2"/>
      <x:c r="G70" s="2"/>
      <x:c r="H70" s="2"/>
      <x:c r="I70" s="2"/>
      <x:c r="J70" s="2"/>
      <x:c r="K70" s="2"/>
      <x:c r="L70" s="2"/>
    </x:row>
    <x:row r="71" ht="28" customHeight="1">
      <x:c r="A71" s="2"/>
      <x:c r="B71" s="2"/>
      <x:c r="C71" s="2"/>
      <x:c r="D71" s="2"/>
      <x:c r="E71" s="2"/>
      <x:c r="F71" s="2"/>
      <x:c r="G71" s="2"/>
      <x:c r="H71" s="2"/>
      <x:c r="I71" s="2"/>
      <x:c r="J71" s="2"/>
      <x:c r="K71" s="2"/>
      <x:c r="L71" s="2"/>
    </x:row>
    <x:row r="72" ht="28" customHeight="1">
      <x:c r="A72" s="2"/>
      <x:c r="B72" s="2"/>
      <x:c r="C72" s="2"/>
      <x:c r="D72" s="2"/>
      <x:c r="E72" s="2"/>
      <x:c r="F72" s="2"/>
      <x:c r="G72" s="2"/>
      <x:c r="H72" s="2"/>
      <x:c r="I72" s="2"/>
      <x:c r="J72" s="2"/>
      <x:c r="K72" s="2"/>
      <x:c r="L72" s="2"/>
    </x:row>
    <x:row r="73" ht="28" customHeight="1">
      <x:c r="A73" s="2"/>
      <x:c r="B73" s="2"/>
      <x:c r="C73" s="2"/>
      <x:c r="D73" s="2"/>
      <x:c r="E73" s="2"/>
      <x:c r="F73" s="2"/>
      <x:c r="G73" s="2"/>
      <x:c r="H73" s="2"/>
      <x:c r="I73" s="2"/>
      <x:c r="J73" s="2"/>
      <x:c r="K73" s="2"/>
      <x:c r="L73" s="2"/>
    </x:row>
    <x:row r="74" ht="28" customHeight="1">
      <x:c r="A74" s="2"/>
      <x:c r="B74" s="2"/>
      <x:c r="C74" s="2"/>
      <x:c r="D74" s="2"/>
      <x:c r="E74" s="2"/>
      <x:c r="F74" s="2"/>
      <x:c r="G74" s="2"/>
      <x:c r="H74" s="2"/>
      <x:c r="I74" s="2"/>
      <x:c r="J74" s="2"/>
      <x:c r="K74" s="2"/>
      <x:c r="L74" s="2"/>
    </x:row>
    <x:row r="75" ht="28" customHeight="1">
      <x:c r="A75" s="2"/>
      <x:c r="B75" s="2"/>
      <x:c r="C75" s="2"/>
      <x:c r="D75" s="2"/>
      <x:c r="E75" s="2"/>
      <x:c r="F75" s="2"/>
      <x:c r="G75" s="2"/>
      <x:c r="H75" s="2"/>
      <x:c r="I75" s="2"/>
      <x:c r="J75" s="2"/>
      <x:c r="K75" s="2"/>
      <x:c r="L75" s="2"/>
    </x:row>
    <x:row r="76" ht="28" customHeight="1">
      <x:c r="A76" s="2"/>
      <x:c r="B76" s="2"/>
      <x:c r="C76" s="2"/>
      <x:c r="D76" s="2"/>
      <x:c r="E76" s="2"/>
      <x:c r="F76" s="2"/>
      <x:c r="G76" s="2"/>
      <x:c r="H76" s="2"/>
      <x:c r="I76" s="2"/>
      <x:c r="J76" s="2"/>
      <x:c r="K76" s="2"/>
      <x:c r="L76" s="2"/>
    </x:row>
    <x:row r="77" ht="28" customHeight="1">
      <x:c r="A77" s="2"/>
      <x:c r="B77" s="2"/>
      <x:c r="C77" s="2"/>
      <x:c r="D77" s="2"/>
      <x:c r="E77" s="2"/>
      <x:c r="F77" s="2"/>
      <x:c r="G77" s="2"/>
      <x:c r="H77" s="2"/>
      <x:c r="I77" s="2"/>
      <x:c r="J77" s="2"/>
      <x:c r="K77" s="2"/>
      <x:c r="L77" s="2"/>
    </x:row>
    <x:row r="78" ht="28" customHeight="1">
      <x:c r="A78" s="2"/>
      <x:c r="B78" s="2"/>
      <x:c r="C78" s="2"/>
      <x:c r="D78" s="2"/>
      <x:c r="E78" s="2"/>
      <x:c r="F78" s="2"/>
      <x:c r="G78" s="2"/>
      <x:c r="H78" s="2"/>
      <x:c r="I78" s="2"/>
      <x:c r="J78" s="2"/>
      <x:c r="K78" s="2"/>
      <x:c r="L78" s="2"/>
    </x:row>
    <x:row r="79" ht="28" customHeight="1">
      <x:c r="A79" s="2"/>
      <x:c r="B79" s="2"/>
      <x:c r="C79" s="2"/>
      <x:c r="D79" s="2"/>
      <x:c r="E79" s="2"/>
      <x:c r="F79" s="2"/>
      <x:c r="G79" s="2"/>
      <x:c r="H79" s="2"/>
      <x:c r="I79" s="2"/>
      <x:c r="J79" s="2"/>
      <x:c r="K79" s="2"/>
      <x:c r="L79" s="2"/>
    </x:row>
    <x:row r="80" ht="28" customHeight="1">
      <x:c r="A80" s="2"/>
      <x:c r="B80" s="2"/>
      <x:c r="C80" s="2"/>
      <x:c r="D80" s="2"/>
      <x:c r="E80" s="2"/>
      <x:c r="F80" s="2"/>
      <x:c r="G80" s="2"/>
      <x:c r="H80" s="2"/>
      <x:c r="I80" s="2"/>
      <x:c r="J80" s="2"/>
      <x:c r="K80" s="2"/>
      <x:c r="L80" s="2"/>
    </x:row>
    <x:row r="81" ht="28" customHeight="1">
      <x:c r="A81" s="2"/>
      <x:c r="B81" s="2"/>
      <x:c r="C81" s="2"/>
      <x:c r="D81" s="2"/>
      <x:c r="E81" s="2"/>
      <x:c r="F81" s="2"/>
      <x:c r="G81" s="2"/>
      <x:c r="H81" s="2"/>
      <x:c r="I81" s="2"/>
      <x:c r="J81" s="2"/>
      <x:c r="K81" s="2"/>
      <x:c r="L81" s="2"/>
    </x:row>
    <x:row r="82" ht="28" customHeight="1">
      <x:c r="A82" s="2"/>
      <x:c r="B82" s="2"/>
      <x:c r="C82" s="2"/>
      <x:c r="D82" s="2"/>
      <x:c r="E82" s="2"/>
      <x:c r="F82" s="2"/>
      <x:c r="G82" s="2"/>
      <x:c r="H82" s="2"/>
      <x:c r="I82" s="2"/>
      <x:c r="J82" s="2"/>
      <x:c r="K82" s="2"/>
      <x:c r="L82" s="2"/>
    </x:row>
    <x:row r="83" ht="28" customHeight="1">
      <x:c r="A83" s="2"/>
      <x:c r="B83" s="2"/>
      <x:c r="C83" s="2"/>
      <x:c r="D83" s="2"/>
      <x:c r="E83" s="2"/>
      <x:c r="F83" s="2"/>
      <x:c r="G83" s="2"/>
      <x:c r="H83" s="2"/>
      <x:c r="I83" s="2"/>
      <x:c r="J83" s="2"/>
      <x:c r="K83" s="2"/>
      <x:c r="L83" s="2"/>
    </x:row>
    <x:row r="84" ht="28" customHeight="1">
      <x:c r="A84" s="2"/>
      <x:c r="B84" s="2"/>
      <x:c r="C84" s="2"/>
      <x:c r="D84" s="2"/>
      <x:c r="E84" s="2"/>
      <x:c r="F84" s="2"/>
      <x:c r="G84" s="2"/>
      <x:c r="H84" s="2"/>
      <x:c r="I84" s="2"/>
      <x:c r="J84" s="2"/>
      <x:c r="K84" s="2"/>
      <x:c r="L84" s="2"/>
    </x:row>
    <x:row r="85" ht="28" customHeight="1">
      <x:c r="A85" s="2"/>
      <x:c r="B85" s="2"/>
      <x:c r="C85" s="2"/>
      <x:c r="D85" s="2"/>
      <x:c r="E85" s="2"/>
      <x:c r="F85" s="2"/>
      <x:c r="G85" s="2"/>
      <x:c r="H85" s="2"/>
      <x:c r="I85" s="2"/>
      <x:c r="J85" s="2"/>
      <x:c r="K85" s="2"/>
      <x:c r="L85" s="2"/>
    </x:row>
    <x:row r="86" ht="28" customHeight="1">
      <x:c r="A86" s="2"/>
      <x:c r="B86" s="2"/>
      <x:c r="C86" s="2"/>
      <x:c r="D86" s="2"/>
      <x:c r="E86" s="2"/>
      <x:c r="F86" s="2"/>
      <x:c r="G86" s="2"/>
      <x:c r="H86" s="2"/>
      <x:c r="I86" s="2"/>
      <x:c r="J86" s="2"/>
      <x:c r="K86" s="2"/>
      <x:c r="L86" s="2"/>
    </x:row>
    <x:row r="87" ht="28" customHeight="1">
      <x:c r="A87" s="2"/>
      <x:c r="B87" s="2"/>
      <x:c r="C87" s="2"/>
      <x:c r="D87" s="2"/>
      <x:c r="E87" s="2"/>
      <x:c r="F87" s="2"/>
      <x:c r="G87" s="2"/>
      <x:c r="H87" s="2"/>
      <x:c r="I87" s="2"/>
      <x:c r="J87" s="2"/>
      <x:c r="K87" s="2"/>
      <x:c r="L87" s="2"/>
    </x:row>
    <x:row r="88" ht="28" customHeight="1">
      <x:c r="A88" s="2"/>
      <x:c r="B88" s="2"/>
      <x:c r="C88" s="2"/>
      <x:c r="D88" s="2"/>
      <x:c r="E88" s="2"/>
      <x:c r="F88" s="2"/>
      <x:c r="G88" s="2"/>
      <x:c r="H88" s="2"/>
      <x:c r="I88" s="2"/>
      <x:c r="J88" s="2"/>
      <x:c r="K88" s="2"/>
      <x:c r="L88" s="2"/>
    </x:row>
    <x:row r="89" ht="28" customHeight="1">
      <x:c r="A89" s="2"/>
      <x:c r="B89" s="2"/>
      <x:c r="C89" s="2"/>
      <x:c r="D89" s="2"/>
      <x:c r="E89" s="2"/>
      <x:c r="F89" s="2"/>
      <x:c r="G89" s="2"/>
      <x:c r="H89" s="2"/>
      <x:c r="I89" s="2"/>
      <x:c r="J89" s="2"/>
      <x:c r="K89" s="2"/>
      <x:c r="L89" s="2"/>
    </x:row>
    <x:row r="90" ht="28" customHeight="1">
      <x:c r="A90" s="2"/>
      <x:c r="B90" s="2"/>
      <x:c r="C90" s="2"/>
      <x:c r="D90" s="2"/>
      <x:c r="E90" s="2"/>
      <x:c r="F90" s="2"/>
      <x:c r="G90" s="2"/>
      <x:c r="H90" s="2"/>
      <x:c r="I90" s="2"/>
      <x:c r="J90" s="2"/>
      <x:c r="K90" s="2"/>
      <x:c r="L90" s="2"/>
    </x:row>
    <x:row r="91" ht="28" customHeight="1">
      <x:c r="A91" s="2"/>
      <x:c r="B91" s="2"/>
      <x:c r="C91" s="2"/>
      <x:c r="D91" s="2"/>
      <x:c r="E91" s="2"/>
      <x:c r="F91" s="2"/>
      <x:c r="G91" s="2"/>
      <x:c r="H91" s="2"/>
      <x:c r="I91" s="2"/>
      <x:c r="J91" s="2"/>
      <x:c r="K91" s="2"/>
      <x:c r="L91" s="2"/>
    </x:row>
    <x:row r="92" ht="28" customHeight="1">
      <x:c r="A92" s="2"/>
      <x:c r="B92" s="2"/>
      <x:c r="C92" s="2"/>
      <x:c r="D92" s="2"/>
      <x:c r="E92" s="2"/>
      <x:c r="F92" s="2"/>
      <x:c r="G92" s="2"/>
      <x:c r="H92" s="2"/>
      <x:c r="I92" s="2"/>
      <x:c r="J92" s="2"/>
      <x:c r="K92" s="2"/>
      <x:c r="L92" s="2"/>
    </x:row>
    <x:row r="93" ht="28" customHeight="1">
      <x:c r="A93" s="2"/>
      <x:c r="B93" s="2"/>
      <x:c r="C93" s="2"/>
      <x:c r="D93" s="2"/>
      <x:c r="E93" s="2"/>
      <x:c r="F93" s="2"/>
      <x:c r="G93" s="2"/>
      <x:c r="H93" s="2"/>
      <x:c r="I93" s="2"/>
      <x:c r="J93" s="2"/>
      <x:c r="K93" s="2"/>
      <x:c r="L93" s="2"/>
    </x:row>
    <x:row r="94" ht="28" customHeight="1">
      <x:c r="A94" s="2"/>
      <x:c r="B94" s="2"/>
      <x:c r="C94" s="2"/>
      <x:c r="D94" s="2"/>
      <x:c r="E94" s="2"/>
      <x:c r="F94" s="2"/>
      <x:c r="G94" s="2"/>
      <x:c r="H94" s="2"/>
      <x:c r="I94" s="2"/>
      <x:c r="J94" s="2"/>
      <x:c r="K94" s="2"/>
      <x:c r="L94" s="2"/>
    </x:row>
    <x:row r="95" ht="28" customHeight="1">
      <x:c r="A95" s="2"/>
      <x:c r="B95" s="2"/>
      <x:c r="C95" s="2"/>
      <x:c r="D95" s="2"/>
      <x:c r="E95" s="2"/>
      <x:c r="F95" s="2"/>
      <x:c r="G95" s="2"/>
      <x:c r="H95" s="2"/>
      <x:c r="I95" s="2"/>
      <x:c r="J95" s="2"/>
      <x:c r="K95" s="2"/>
      <x:c r="L95" s="2"/>
    </x:row>
    <x:row r="96" ht="28" customHeight="1">
      <x:c r="A96" s="2"/>
      <x:c r="B96" s="2"/>
      <x:c r="C96" s="2"/>
      <x:c r="D96" s="2"/>
      <x:c r="E96" s="2"/>
      <x:c r="F96" s="2"/>
      <x:c r="G96" s="2"/>
      <x:c r="H96" s="2"/>
      <x:c r="I96" s="2"/>
      <x:c r="J96" s="2"/>
      <x:c r="K96" s="2"/>
      <x:c r="L96" s="2"/>
    </x:row>
    <x:row r="97" ht="28" customHeight="1">
      <x:c r="A97" s="2"/>
      <x:c r="B97" s="2"/>
      <x:c r="C97" s="2"/>
      <x:c r="D97" s="2"/>
      <x:c r="E97" s="2"/>
      <x:c r="F97" s="2"/>
      <x:c r="G97" s="2"/>
      <x:c r="H97" s="2"/>
      <x:c r="I97" s="2"/>
      <x:c r="J97" s="2"/>
      <x:c r="K97" s="2"/>
      <x:c r="L97" s="2"/>
    </x:row>
    <x:row r="98" ht="28" customHeight="1">
      <x:c r="A98" s="2"/>
      <x:c r="B98" s="2"/>
      <x:c r="C98" s="2"/>
      <x:c r="D98" s="2"/>
      <x:c r="E98" s="2"/>
      <x:c r="F98" s="2"/>
      <x:c r="G98" s="2"/>
      <x:c r="H98" s="2"/>
      <x:c r="I98" s="2"/>
      <x:c r="J98" s="2"/>
      <x:c r="K98" s="2"/>
      <x:c r="L98" s="2"/>
    </x:row>
    <x:row r="99" ht="28" customHeight="1">
      <x:c r="A99" s="2"/>
      <x:c r="B99" s="2"/>
      <x:c r="C99" s="2"/>
      <x:c r="D99" s="2"/>
      <x:c r="E99" s="2"/>
      <x:c r="F99" s="2"/>
      <x:c r="G99" s="2"/>
      <x:c r="H99" s="2"/>
      <x:c r="I99" s="2"/>
      <x:c r="J99" s="2"/>
      <x:c r="K99" s="2"/>
      <x:c r="L99" s="2"/>
    </x:row>
    <x:row r="100" ht="28" customHeight="1">
      <x:c r="A100" s="2"/>
      <x:c r="B100" s="2"/>
      <x:c r="C100" s="2"/>
      <x:c r="D100" s="2"/>
      <x:c r="E100" s="2"/>
      <x:c r="F100" s="2"/>
      <x:c r="G100" s="2"/>
      <x:c r="H100" s="2"/>
      <x:c r="I100" s="2"/>
      <x:c r="J100" s="2"/>
      <x:c r="K100" s="2"/>
      <x:c r="L100" s="2"/>
    </x:row>
    <x:row r="101" ht="28" customHeight="1">
      <x:c r="A101" s="2"/>
      <x:c r="B101" s="2"/>
      <x:c r="C101" s="2"/>
      <x:c r="D101" s="2"/>
      <x:c r="E101" s="2"/>
      <x:c r="F101" s="2"/>
      <x:c r="G101" s="2"/>
      <x:c r="H101" s="2"/>
      <x:c r="I101" s="2"/>
      <x:c r="J101" s="2"/>
      <x:c r="K101" s="2"/>
      <x:c r="L101" s="2"/>
    </x:row>
    <x:row r="102" ht="28" customHeight="1">
      <x:c r="A102" s="2"/>
      <x:c r="B102" s="2"/>
      <x:c r="C102" s="2"/>
      <x:c r="D102" s="2"/>
      <x:c r="E102" s="2"/>
      <x:c r="F102" s="2"/>
      <x:c r="G102" s="2"/>
      <x:c r="H102" s="2"/>
      <x:c r="I102" s="2"/>
      <x:c r="J102" s="2"/>
      <x:c r="K102" s="2"/>
      <x:c r="L102" s="2"/>
    </x:row>
    <x:row r="103" ht="28" customHeight="1">
      <x:c r="A103" s="2"/>
      <x:c r="B103" s="2"/>
      <x:c r="C103" s="2"/>
      <x:c r="D103" s="2"/>
      <x:c r="E103" s="2"/>
      <x:c r="F103" s="2"/>
      <x:c r="G103" s="2"/>
      <x:c r="H103" s="2"/>
      <x:c r="I103" s="2"/>
      <x:c r="J103" s="2"/>
      <x:c r="K103" s="2"/>
      <x:c r="L103" s="2"/>
    </x:row>
    <x:row r="104" ht="28" customHeight="1">
      <x:c r="A104" s="2"/>
      <x:c r="B104" s="2"/>
      <x:c r="C104" s="2"/>
      <x:c r="D104" s="2"/>
      <x:c r="E104" s="2"/>
      <x:c r="F104" s="2"/>
      <x:c r="G104" s="2"/>
      <x:c r="H104" s="2"/>
      <x:c r="I104" s="2"/>
      <x:c r="J104" s="2"/>
      <x:c r="K104" s="2"/>
      <x:c r="L104" s="2"/>
    </x:row>
    <x:row r="105" ht="28" customHeight="1">
      <x:c r="A105" s="2"/>
      <x:c r="B105" s="2"/>
      <x:c r="C105" s="2"/>
      <x:c r="D105" s="2"/>
      <x:c r="E105" s="2"/>
      <x:c r="F105" s="2"/>
      <x:c r="G105" s="2"/>
      <x:c r="H105" s="2"/>
      <x:c r="I105" s="2"/>
      <x:c r="J105" s="2"/>
      <x:c r="K105" s="2"/>
      <x:c r="L105" s="2"/>
    </x:row>
    <x:row r="106" ht="28" customHeight="1">
      <x:c r="A106" s="2"/>
      <x:c r="B106" s="2"/>
      <x:c r="C106" s="2"/>
      <x:c r="D106" s="2"/>
      <x:c r="E106" s="2"/>
      <x:c r="F106" s="2"/>
      <x:c r="G106" s="2"/>
      <x:c r="H106" s="2"/>
      <x:c r="I106" s="2"/>
      <x:c r="J106" s="2"/>
      <x:c r="K106" s="2"/>
      <x:c r="L106" s="2"/>
    </x:row>
    <x:row r="107" ht="28" customHeight="1">
      <x:c r="A107" s="2"/>
      <x:c r="B107" s="2"/>
      <x:c r="C107" s="2"/>
      <x:c r="D107" s="2"/>
      <x:c r="E107" s="2"/>
      <x:c r="F107" s="2"/>
      <x:c r="G107" s="2"/>
      <x:c r="H107" s="2"/>
      <x:c r="I107" s="2"/>
      <x:c r="J107" s="2"/>
      <x:c r="K107" s="2"/>
      <x:c r="L107" s="2"/>
    </x:row>
    <x:row r="108" ht="28" customHeight="1">
      <x:c r="A108" s="2"/>
      <x:c r="B108" s="2"/>
      <x:c r="C108" s="2"/>
      <x:c r="D108" s="2"/>
      <x:c r="E108" s="2"/>
      <x:c r="F108" s="2"/>
      <x:c r="G108" s="2"/>
      <x:c r="H108" s="2"/>
      <x:c r="I108" s="2"/>
      <x:c r="J108" s="2"/>
      <x:c r="K108" s="2"/>
      <x:c r="L108" s="2"/>
    </x:row>
    <x:row r="109" ht="28" customHeight="1">
      <x:c r="A109" s="2"/>
      <x:c r="B109" s="2"/>
      <x:c r="C109" s="2"/>
      <x:c r="D109" s="2"/>
      <x:c r="E109" s="2"/>
      <x:c r="F109" s="2"/>
      <x:c r="G109" s="2"/>
      <x:c r="H109" s="2"/>
      <x:c r="I109" s="2"/>
      <x:c r="J109" s="2"/>
      <x:c r="K109" s="2"/>
      <x:c r="L109" s="2"/>
    </x:row>
    <x:row r="110" ht="28" customHeight="1">
      <x:c r="A110" s="2"/>
      <x:c r="B110" s="2"/>
      <x:c r="C110" s="2"/>
      <x:c r="D110" s="2"/>
      <x:c r="E110" s="2"/>
      <x:c r="F110" s="2"/>
      <x:c r="G110" s="2"/>
      <x:c r="H110" s="2"/>
      <x:c r="I110" s="2"/>
      <x:c r="J110" s="2"/>
      <x:c r="K110" s="2"/>
      <x:c r="L110" s="2"/>
    </x:row>
    <x:row r="111" ht="28" customHeight="1">
      <x:c r="A111" s="2"/>
      <x:c r="B111" s="2"/>
      <x:c r="C111" s="2"/>
      <x:c r="D111" s="2"/>
      <x:c r="E111" s="2"/>
      <x:c r="F111" s="2"/>
      <x:c r="G111" s="2"/>
      <x:c r="H111" s="2"/>
      <x:c r="I111" s="2"/>
      <x:c r="J111" s="2"/>
      <x:c r="K111" s="2"/>
      <x:c r="L111" s="2"/>
    </x:row>
    <x:row r="112" ht="28" customHeight="1">
      <x:c r="A112" s="2"/>
      <x:c r="B112" s="2"/>
      <x:c r="C112" s="2"/>
      <x:c r="D112" s="2"/>
      <x:c r="E112" s="2"/>
      <x:c r="F112" s="2"/>
      <x:c r="G112" s="2"/>
      <x:c r="H112" s="2"/>
      <x:c r="I112" s="2"/>
      <x:c r="J112" s="2"/>
      <x:c r="K112" s="2"/>
      <x:c r="L112" s="2"/>
    </x:row>
    <x:row r="113" ht="28" customHeight="1">
      <x:c r="A113" s="2"/>
      <x:c r="B113" s="2"/>
      <x:c r="C113" s="2"/>
      <x:c r="D113" s="2"/>
      <x:c r="E113" s="2"/>
      <x:c r="F113" s="2"/>
      <x:c r="G113" s="2"/>
      <x:c r="H113" s="2"/>
      <x:c r="I113" s="2"/>
      <x:c r="J113" s="2"/>
      <x:c r="K113" s="2"/>
      <x:c r="L113" s="2"/>
    </x:row>
    <x:row r="114" ht="28" customHeight="1">
      <x:c r="A114" s="2"/>
      <x:c r="B114" s="2"/>
      <x:c r="C114" s="2"/>
      <x:c r="D114" s="2"/>
      <x:c r="E114" s="2"/>
      <x:c r="F114" s="2"/>
      <x:c r="G114" s="2"/>
      <x:c r="H114" s="2"/>
      <x:c r="I114" s="2"/>
      <x:c r="J114" s="2"/>
      <x:c r="K114" s="2"/>
      <x:c r="L114" s="2"/>
    </x:row>
    <x:row r="115" ht="28" customHeight="1">
      <x:c r="A115" s="2"/>
      <x:c r="B115" s="2"/>
      <x:c r="C115" s="2"/>
      <x:c r="D115" s="2"/>
      <x:c r="E115" s="2"/>
      <x:c r="F115" s="2"/>
      <x:c r="G115" s="2"/>
      <x:c r="H115" s="2"/>
      <x:c r="I115" s="2"/>
      <x:c r="J115" s="2"/>
      <x:c r="K115" s="2"/>
      <x:c r="L115" s="2"/>
    </x:row>
    <x:row r="116" ht="28" customHeight="1">
      <x:c r="A116" s="2"/>
      <x:c r="B116" s="2"/>
      <x:c r="C116" s="2"/>
      <x:c r="D116" s="2"/>
      <x:c r="E116" s="2"/>
      <x:c r="F116" s="2"/>
      <x:c r="G116" s="2"/>
      <x:c r="H116" s="2"/>
      <x:c r="I116" s="2"/>
      <x:c r="J116" s="2"/>
      <x:c r="K116" s="2"/>
      <x:c r="L116" s="2"/>
    </x:row>
    <x:row r="117" ht="28" customHeight="1">
      <x:c r="A117" s="2"/>
      <x:c r="B117" s="2"/>
      <x:c r="C117" s="2"/>
      <x:c r="D117" s="2"/>
      <x:c r="E117" s="2"/>
      <x:c r="F117" s="2"/>
      <x:c r="G117" s="2"/>
      <x:c r="H117" s="2"/>
      <x:c r="I117" s="2"/>
      <x:c r="J117" s="2"/>
      <x:c r="K117" s="2"/>
      <x:c r="L117" s="2"/>
    </x:row>
    <x:row r="118" ht="28" customHeight="1">
      <x:c r="A118" s="2"/>
      <x:c r="B118" s="2"/>
      <x:c r="C118" s="2"/>
      <x:c r="D118" s="2"/>
      <x:c r="E118" s="2"/>
      <x:c r="F118" s="2"/>
      <x:c r="G118" s="2"/>
      <x:c r="H118" s="2"/>
      <x:c r="I118" s="2"/>
      <x:c r="J118" s="2"/>
      <x:c r="K118" s="2"/>
      <x:c r="L118" s="2"/>
    </x:row>
    <x:row r="119" ht="28" customHeight="1">
      <x:c r="A119" s="2"/>
      <x:c r="B119" s="2"/>
      <x:c r="C119" s="2"/>
      <x:c r="D119" s="2"/>
      <x:c r="E119" s="2"/>
      <x:c r="F119" s="2"/>
      <x:c r="G119" s="2"/>
      <x:c r="H119" s="2"/>
      <x:c r="I119" s="2"/>
      <x:c r="J119" s="2"/>
      <x:c r="K119" s="2"/>
      <x:c r="L119" s="2"/>
    </x:row>
    <x:row r="120" ht="28" customHeight="1">
      <x:c r="A120" s="2"/>
      <x:c r="B120" s="2"/>
      <x:c r="C120" s="2"/>
      <x:c r="D120" s="2"/>
      <x:c r="E120" s="2"/>
      <x:c r="F120" s="2"/>
      <x:c r="G120" s="2"/>
      <x:c r="H120" s="2"/>
      <x:c r="I120" s="2"/>
      <x:c r="J120" s="2"/>
      <x:c r="K120" s="2"/>
      <x:c r="L12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9" hidden="0" customWidth="1"/>
    <x:col min="2" max="2" width="24" hidden="0" customWidth="1"/>
    <x:col min="3" max="3" width="52" hidden="0" customWidth="1"/>
    <x:col min="4" max="4" width="38" hidden="0" customWidth="1"/>
    <x:col min="5" max="5" width="8" hidden="0" customWidth="1"/>
    <x:col min="6" max="6" width="9" hidden="0" customWidth="1"/>
    <x:col min="7" max="7" width="19" hidden="0" customWidth="1"/>
    <x:col min="8" max="8" width="16" hidden="0" customWidth="1"/>
    <x:col min="9" max="9" width="12" hidden="0" customWidth="1"/>
    <x:col min="10" max="10" width="13" hidden="0" customWidth="1"/>
    <x:col min="11" max="11" width="16" hidden="0" customWidth="1"/>
    <x:col min="12" max="12" width="15" hidden="0" customWidth="1"/>
    <x:col min="13" max="13" width="16" hidden="0" customWidth="1"/>
    <x:col min="14" max="14" width="20" hidden="0" customWidth="1"/>
    <x:col min="15" max="15" width="4" hidden="0" customWidth="1"/>
    <x:col min="16" max="16" width="58" hidden="0" customWidth="1"/>
    <x:col min="17" max="17" width="60" hidden="0" customWidth="1"/>
    <x:col min="18" max="18" width="18" hidden="0" customWidth="1"/>
    <x:col min="19" max="19" width="20" hidden="0" customWidth="1"/>
    <x:col min="20" max="20" width="4" hidden="0" customWidth="1"/>
    <x:col min="21" max="21" width="58" hidden="0" customWidth="1"/>
    <x:col min="22" max="22" width="60" hidden="0" customWidth="1"/>
    <x:col min="23" max="23" width="18" hidden="0" customWidth="1"/>
  </x:cols>
  <x:sheetData>
    <x:row r="1" ht="28" customHeight="1">
      <x:c r="A1" s="2"/>
      <x:c r="B1" s="2"/>
      <x:c r="C1" s="2"/>
      <x:c r="D1" s="2"/>
      <x:c r="E1" s="2"/>
      <x:c r="F1" s="2"/>
      <x:c r="G1" s="2"/>
      <x:c r="H1" s="2"/>
      <x:c r="I1" s="2"/>
      <x:c r="J1" s="2"/>
      <x:c r="K1" s="2"/>
      <x:c r="L1" s="2"/>
      <x:c r="M1" s="2"/>
      <x:c r="N1" s="2"/>
      <x:c r="O1" s="2"/>
      <x:c r="P1" s="2"/>
      <x:c r="Q1" s="2"/>
      <x:c r="R1" s="2"/>
      <x:c r="S1" s="2"/>
      <x:c r="T1" s="2"/>
      <x:c r="U1" s="2"/>
      <x:c r="V1" s="2"/>
      <x:c r="W1" s="2"/>
    </x:row>
    <x:row r="2" ht="28" customHeight="1">
      <x:c r="A2" s="3" t="str">
        <x:v>Purchased materials and equipment</x:v>
      </x:c>
      <x:c r="B2" s="2"/>
      <x:c r="C2" s="2"/>
      <x:c r="D2" s="2"/>
      <x:c r="E2" s="2"/>
      <x:c r="F2" s="2"/>
      <x:c r="G2" s="2"/>
      <x:c r="H2" s="2"/>
      <x:c r="I2" s="2"/>
      <x:c r="J2" s="2"/>
      <x:c r="K2" s="2"/>
      <x:c r="L2" s="2"/>
      <x:c r="M2" s="2"/>
      <x:c r="N2" s="2"/>
      <x:c r="O2" s="2"/>
      <x:c r="P2" s="2"/>
      <x:c r="Q2" s="2"/>
      <x:c r="R2" s="2"/>
      <x:c r="S2" s="2"/>
      <x:c r="T2" s="2"/>
      <x:c r="U2" s="2"/>
      <x:c r="V2" s="2"/>
      <x:c r="W2" s="2"/>
    </x:row>
    <x:row r="3" ht="28" customHeight="1">
      <x:c r="A3" s="4" t="str">
        <x:v>All prices in USD. Yellow inputs are editable; Owned qty can include borrowed items.</x:v>
      </x:c>
      <x:c r="B3" s="2"/>
      <x:c r="C3" s="2"/>
      <x:c r="D3" s="2"/>
      <x:c r="E3" s="2"/>
      <x:c r="F3" s="2"/>
      <x:c r="G3" s="2"/>
      <x:c r="H3" s="2"/>
      <x:c r="I3" s="2"/>
      <x:c r="J3" s="2"/>
      <x:c r="K3" s="2"/>
      <x:c r="L3" s="2"/>
      <x:c r="M3" s="2"/>
      <x:c r="N3" s="2"/>
      <x:c r="O3" s="2"/>
      <x:c r="P3" s="2"/>
      <x:c r="Q3" s="2"/>
      <x:c r="R3" s="2"/>
      <x:c r="S3" s="2"/>
      <x:c r="T3" s="2"/>
      <x:c r="U3" s="2"/>
      <x:c r="V3" s="2"/>
      <x:c r="W3" s="2"/>
    </x:row>
    <x:row r="4" ht="48" customHeight="1">
      <x:c r="A4" s="23" t="str">
        <x:v>ID</x:v>
      </x:c>
      <x:c r="B4" s="23" t="str">
        <x:v>Name</x:v>
      </x:c>
      <x:c r="C4" s="23" t="str">
        <x:v>Specification</x:v>
      </x:c>
      <x:c r="D4" s="23" t="str">
        <x:v>Purpose and location</x:v>
      </x:c>
      <x:c r="E4" s="23" t="str">
        <x:v>Qty</x:v>
      </x:c>
      <x:c r="F4" s="23" t="str">
        <x:v>Unit</x:v>
      </x:c>
      <x:c r="G4" s="23" t="str">
        <x:v>Class</x:v>
      </x:c>
      <x:c r="H4" s="23" t="str">
        <x:v>Unit USD</x:v>
      </x:c>
      <x:c r="I4" s="23" t="str">
        <x:v>Pack units</x:v>
      </x:c>
      <x:c r="J4" s="23" t="str">
        <x:v>Owned qty</x:v>
      </x:c>
      <x:c r="K4" s="23" t="str">
        <x:v>Used USD</x:v>
      </x:c>
      <x:c r="L4" s="23" t="str">
        <x:v>Packs to buy</x:v>
      </x:c>
      <x:c r="M4" s="23" t="str">
        <x:v>New USD</x:v>
      </x:c>
      <x:c r="N4" s="23" t="str">
        <x:v>Price type</x:v>
      </x:c>
      <x:c r="O4" s="23" t="str"/>
      <x:c r="P4" s="23" t="str">
        <x:v>Compatibility limits</x:v>
      </x:c>
      <x:c r="Q4" s="23" t="str">
        <x:v>Price sources / original quotations</x:v>
      </x:c>
      <x:c r="R4" s="23" t="str">
        <x:v>Calculation state</x:v>
      </x:c>
      <x:c r="S4"/>
      <x:c r="T4"/>
      <x:c r="U4"/>
      <x:c r="V4"/>
      <x:c r="W4"/>
    </x:row>
    <x:row r="5" ht="108" customHeight="1">
      <x:c r="A5" s="10" t="str">
        <x:v>F01</x:v>
      </x:c>
      <x:c r="B5" s="10" t="str">
        <x:v>5 V DC axial fan</x:v>
      </x:c>
      <x:c r="C5" s="10" t="str">
        <x:v>40×40×10 mm; mounting pitch 32×32 mm. Existing candidate Sunon MF40100V1-1000U-A99:5 V, rated136 mA/0.68 W; purchase approval pending.</x:v>
      </x:c>
      <x:c r="D5" s="10" t="str">
        <x:v>Cool the electronics; does not regulate sample gas.
Base01 at(-27, -5), bottomZ6/topZ16; airflow from underside toward PCB, two diagonal fixings.</x:v>
      </x:c>
      <x:c r="E5" s="10" t="n">
        <x:v>1</x:v>
      </x:c>
      <x:c r="F5" s="10" t="str">
        <x:v>pc</x:v>
      </x:c>
      <x:c r="G5" s="10" t="str">
        <x:v>Required</x:v>
      </x:c>
      <x:c r="H5" s="19" t="n">
        <x:v>5.062097154535451</x:v>
      </x:c>
      <x:c r="I5" s="18" t="n">
        <x:v>1</x:v>
      </x:c>
      <x:c r="J5" s="18" t="n">
        <x:v>0</x:v>
      </x:c>
      <x:c r="K5" s="24" t="n">
        <x:f>IF(AND(ISNUMBER(E5),E5&gt;=0,ISNUMBER(H5),H5&gt;=0),E5*H5,"")</x:f>
        <x:v>5.062097154535451</x:v>
      </x:c>
      <x:c r="L5" s="10" t="n">
        <x:f>IF(AND(ISNUMBER(E5),E5&gt;=0,ISNUMBER(I5),I5&gt;0,ISNUMBER(J5),J5&gt;=0),ROUNDUP(MAX(0,E5-J5)/I5,0),"")</x:f>
        <x:v>1</x:v>
      </x:c>
      <x:c r="M5" s="24" t="n">
        <x:f>IF(AND(ISNUMBER(L5),ISNUMBER(H5),H5&gt;=0),L5*I5*H5,"")</x:f>
        <x:v>5.062097154535451</x:v>
      </x:c>
      <x:c r="N5" s="10" t="str">
        <x:v>Listed</x:v>
      </x:c>
      <x:c r="O5" s="10" t="str"/>
      <x:c r="P5" s="10" t="str">
        <x:v>Cradle opening40.6 mm; candidate frame40±0.5 leaves only0.05 mm/side at maximum size before print error. Measure frame/pitch/thickness/wires. Vendor must approve5 V connection and startup-current margin; battery-mode5 V capability is unverified. Never use GPIO or an arbitrary3.3 V rail.</x:v>
      </x:c>
      <x:c r="Q5" s="10" t="str">
        <x:v>FAN
Original unit input: NTD 161. Converted at 31.805 NTD/USD.
NTD 161 at quantity 1. Listed out of stock. Shipping and local tax not added.
https://www.digikey.tw/en/products/detail/sunon-fans/MF40100V1-1000U-A99/6198732</x:v>
      </x:c>
      <x:c r="R5" s="10" t="str">
        <x:f>IF(AND(ISNUMBER(K5),ISNUMBER(M5)),"OK","Missing")</x:f>
        <x:v>OK</x:v>
      </x:c>
      <x:c r="S5"/>
      <x:c r="T5"/>
      <x:c r="U5"/>
      <x:c r="V5"/>
      <x:c r="W5"/>
    </x:row>
    <x:row r="6" ht="138" customHeight="1">
      <x:c r="A6" s="10" t="str">
        <x:v>H01</x:v>
      </x:c>
      <x:c r="B6" s="10" t="str">
        <x:v>M3×8 screw</x:v>
      </x:c>
      <x:c r="C6" s="10" t="str">
        <x:v>M3 coarse thread, pitch 0.5 mm; under-head length8 mm. Proposed common head: hex-socket cylindrical, ISO4762/DIN912 type, nominal diameter 5.5/height 3/hex key2.5 mm. Flat bearing face; no countersunk or self-tapping screw. Head choice is a procurement proposal, not a tested fit.</x:v>
      </x:c>
      <x:c r="D6" s="10" t="str">
        <x:v>Retain PCB
Four PCB corners(±45, ±40), inserted from optical side.</x:v>
      </x:c>
      <x:c r="E6" s="10" t="n">
        <x:v>4</x:v>
      </x:c>
      <x:c r="F6" s="10" t="str">
        <x:v>pc</x:v>
      </x:c>
      <x:c r="G6" s="10" t="str">
        <x:v>Required</x:v>
      </x:c>
      <x:c r="H6" s="19" t="n">
        <x:v>0.09432479169941833</x:v>
      </x:c>
      <x:c r="I6" s="18" t="n">
        <x:v>20</x:v>
      </x:c>
      <x:c r="J6" s="18" t="n">
        <x:v>0</x:v>
      </x:c>
      <x:c r="K6" s="24" t="n">
        <x:f>IF(AND(ISNUMBER(E6),E6&gt;=0,ISNUMBER(H6),H6&gt;=0),E6*H6,"")</x:f>
        <x:v>0.37729916679767334</x:v>
      </x:c>
      <x:c r="L6" s="10" t="n">
        <x:f>IF(AND(ISNUMBER(E6),E6&gt;=0,ISNUMBER(I6),I6&gt;0,ISNUMBER(J6),J6&gt;=0),ROUNDUP(MAX(0,E6-J6)/I6,0),"")</x:f>
        <x:v>1</x:v>
      </x:c>
      <x:c r="M6" s="24" t="n">
        <x:f>IF(AND(ISNUMBER(L6),ISNUMBER(H6),H6&gt;=0),L6*I6*H6,"")</x:f>
        <x:v>1.8864958339883666</x:v>
      </x:c>
      <x:c r="N6" s="10" t="str">
        <x:v>Allowance</x:v>
      </x:c>
      <x:c r="O6" s="10" t="str"/>
      <x:c r="P6" s="10" t="str">
        <x:v>With0.5 mm washer, nominal under-headZ40.1/tipZ32.1; nut pocketZ33.5–36.2. Verify actual PCB hole, copper keep-out and head clearance. No validated tightening torque for the resin; screw material/finish remain to be specified.</x:v>
      </x:c>
      <x:c r="Q6" s="10" t="str">
        <x:v>FASTENER
Original unit input: NTD 3. Converted at 31.805 NTD/USD.
Listing shows small M3 fasteners around NTD 3 individually. Listed flat-head type is NOT the specified socket cap. Budget allowances 3/4/6 NTD for M3x8/16/35 cap screws, 2 for nuts and 1 for washers; local exact-type prices unverified.
https://www.ruten.com.tw/item/21306183365097/</x:v>
      </x:c>
      <x:c r="R6" s="10" t="str">
        <x:f>IF(AND(ISNUMBER(K6),ISNUMBER(M6)),"OK","Missing")</x:f>
        <x:v>OK</x:v>
      </x:c>
      <x:c r="S6"/>
      <x:c r="T6"/>
      <x:c r="U6"/>
      <x:c r="V6"/>
      <x:c r="W6"/>
    </x:row>
    <x:row r="7" ht="138" customHeight="1">
      <x:c r="A7" s="10" t="str">
        <x:v>H02</x:v>
      </x:c>
      <x:c r="B7" s="10" t="str">
        <x:v>M3×16 screw</x:v>
      </x:c>
      <x:c r="C7" s="10" t="str">
        <x:v>M3 coarse thread, pitch 0.5 mm; under-head length16 mm. Proposed common head: hex-socket cylindrical, ISO4762/DIN912 type, nominal diameter 5.5/height 3/hex key2.5 mm. Flat bearing face; no countersunk or self-tapping screw. Head choice is a procurement proposal, not a tested fit.</x:v>
      </x:c>
      <x:c r="D7" s="10" t="str">
        <x:v>Retain fan
From fan top at diagonal(-43, -21), (-11, 11).</x:v>
      </x:c>
      <x:c r="E7" s="10" t="n">
        <x:v>2</x:v>
      </x:c>
      <x:c r="F7" s="10" t="str">
        <x:v>pc</x:v>
      </x:c>
      <x:c r="G7" s="10" t="str">
        <x:v>Required</x:v>
      </x:c>
      <x:c r="H7" s="19" t="n">
        <x:v>0.1257663889325578</x:v>
      </x:c>
      <x:c r="I7" s="18" t="n">
        <x:v>20</x:v>
      </x:c>
      <x:c r="J7" s="18" t="n">
        <x:v>0</x:v>
      </x:c>
      <x:c r="K7" s="24" t="n">
        <x:f>IF(AND(ISNUMBER(E7),E7&gt;=0,ISNUMBER(H7),H7&gt;=0),E7*H7,"")</x:f>
        <x:v>0.2515327778651156</x:v>
      </x:c>
      <x:c r="L7" s="10" t="n">
        <x:f>IF(AND(ISNUMBER(E7),E7&gt;=0,ISNUMBER(I7),I7&gt;0,ISNUMBER(J7),J7&gt;=0),ROUNDUP(MAX(0,E7-J7)/I7,0),"")</x:f>
        <x:v>1</x:v>
      </x:c>
      <x:c r="M7" s="24" t="n">
        <x:f>IF(AND(ISNUMBER(L7),ISNUMBER(H7),H7&gt;=0),L7*I7*H7,"")</x:f>
        <x:v>2.5153277786511556</x:v>
      </x:c>
      <x:c r="N7" s="10" t="str">
        <x:v>Allowance</x:v>
      </x:c>
      <x:c r="O7" s="10" t="str"/>
      <x:c r="P7" s="10" t="str">
        <x:v>For nominal10 mm fan plus0.5 mm washer, under-headZ16.5/tipZ0.5; nut pocketZ0.3–3. Confirm real tolerances: tip must remain above foot planeZ0 and engage the nut. No validated tightening torque for the resin; screw material/finish remain to be specified.</x:v>
      </x:c>
      <x:c r="Q7" s="10" t="str">
        <x:v>FASTENER
Original unit input: NTD 4. Converted at 31.805 NTD/USD.
Listing shows small M3 fasteners around NTD 3 individually. Listed flat-head type is NOT the specified socket cap. Budget allowances 3/4/6 NTD for M3x8/16/35 cap screws, 2 for nuts and 1 for washers; local exact-type prices unverified.
https://www.ruten.com.tw/item/21306183365097/</x:v>
      </x:c>
      <x:c r="R7" s="10" t="str">
        <x:f>IF(AND(ISNUMBER(K7),ISNUMBER(M7)),"OK","Missing")</x:f>
        <x:v>OK</x:v>
      </x:c>
      <x:c r="S7"/>
      <x:c r="T7"/>
      <x:c r="U7"/>
      <x:c r="V7"/>
      <x:c r="W7"/>
    </x:row>
    <x:row r="8" ht="138" customHeight="1">
      <x:c r="A8" s="10" t="str">
        <x:v>H03</x:v>
      </x:c>
      <x:c r="B8" s="10" t="str">
        <x:v>M3×35 screw</x:v>
      </x:c>
      <x:c r="C8" s="10" t="str">
        <x:v>M3 coarse thread, pitch 0.5 mm; under-head length35 mm. Proposed common head: hex-socket cylindrical, ISO4762/DIN912 type, nominal diameter 5.5/height 3/hex key2.5 mm. Flat bearing face; no countersunk or self-tapping screw. Head choice is a procurement proposal, not a tested fit.</x:v>
      </x:c>
      <x:c r="D8" s="10" t="str">
        <x:v>Clamp base, hood and removable lid
Down through lid at(-30, -51.8), (30, 47.8) into base nuts.</x:v>
      </x:c>
      <x:c r="E8" s="10" t="n">
        <x:v>2</x:v>
      </x:c>
      <x:c r="F8" s="10" t="str">
        <x:v>pc</x:v>
      </x:c>
      <x:c r="G8" s="10" t="str">
        <x:v>Required</x:v>
      </x:c>
      <x:c r="H8" s="19" t="n">
        <x:v>0.18864958339883667</x:v>
      </x:c>
      <x:c r="I8" s="18" t="n">
        <x:v>10</x:v>
      </x:c>
      <x:c r="J8" s="18" t="n">
        <x:v>0</x:v>
      </x:c>
      <x:c r="K8" s="24" t="n">
        <x:f>IF(AND(ISNUMBER(E8),E8&gt;=0,ISNUMBER(H8),H8&gt;=0),E8*H8,"")</x:f>
        <x:v>0.37729916679767334</x:v>
      </x:c>
      <x:c r="L8" s="10" t="n">
        <x:f>IF(AND(ISNUMBER(E8),E8&gt;=0,ISNUMBER(I8),I8&gt;0,ISNUMBER(J8),J8&gt;=0),ROUNDUP(MAX(0,E8-J8)/I8,0),"")</x:f>
        <x:v>1</x:v>
      </x:c>
      <x:c r="M8" s="24" t="n">
        <x:f>IF(AND(ISNUMBER(L8),ISNUMBER(H8),H8&gt;=0),L8*I8*H8,"")</x:f>
        <x:v>1.8864958339883666</x:v>
      </x:c>
      <x:c r="N8" s="10" t="str">
        <x:v>Allowance</x:v>
      </x:c>
      <x:c r="O8" s="10" t="str"/>
      <x:c r="P8" s="10" t="str">
        <x:v>Existing stack without extra washer: under-headZ66/tipZ31; nut pocketZ33.2–35.9. Head projects beyond66-mm body height. Verify supplier thread length and physical stop; do not over-tighten to force sealing. No validated tightening torque for the resin; screw material/finish remain to be specified.</x:v>
      </x:c>
      <x:c r="Q8" s="10" t="str">
        <x:v>FASTENER
Original unit input: NTD 6. Converted at 31.805 NTD/USD.
Listing shows small M3 fasteners around NTD 3 individually. Listed flat-head type is NOT the specified socket cap. Budget allowances 3/4/6 NTD for M3x8/16/35 cap screws, 2 for nuts and 1 for washers; local exact-type prices unverified.
https://www.ruten.com.tw/item/21306183365097/</x:v>
      </x:c>
      <x:c r="R8" s="10" t="str">
        <x:f>IF(AND(ISNUMBER(K8),ISNUMBER(M8)),"OK","Missing")</x:f>
        <x:v>OK</x:v>
      </x:c>
      <x:c r="S8"/>
      <x:c r="T8"/>
      <x:c r="U8"/>
      <x:c r="V8"/>
      <x:c r="W8"/>
    </x:row>
    <x:row r="9" ht="138" customHeight="1">
      <x:c r="A9" s="10" t="str">
        <x:v>H04</x:v>
      </x:c>
      <x:c r="B9" s="10" t="str">
        <x:v>M3 hex nut</x:v>
      </x:c>
      <x:c r="C9" s="10" t="str">
        <x:v>M3×0.5; regular hex nut, 5.5 mm across flats, 2.4 mm high, DIN934/~ISO4032 dimensions; not a tall locknut.</x:v>
      </x:c>
      <x:c r="D9" s="10" t="str">
        <x:v>Mate with the three screw lengths:4 PCB+2 fan+2 enclosure.
Integral base pockets; PCB/enclosure nuts enter side slots, fan nuts from underside.</x:v>
      </x:c>
      <x:c r="E9" s="10" t="n">
        <x:v>8</x:v>
      </x:c>
      <x:c r="F9" s="10" t="str">
        <x:v>pc</x:v>
      </x:c>
      <x:c r="G9" s="10" t="str">
        <x:v>Required</x:v>
      </x:c>
      <x:c r="H9" s="19" t="n">
        <x:v>0.0628831944662789</x:v>
      </x:c>
      <x:c r="I9" s="18" t="n">
        <x:v>20</x:v>
      </x:c>
      <x:c r="J9" s="18" t="n">
        <x:v>0</x:v>
      </x:c>
      <x:c r="K9" s="24" t="n">
        <x:f>IF(AND(ISNUMBER(E9),E9&gt;=0,ISNUMBER(H9),H9&gt;=0),E9*H9,"")</x:f>
        <x:v>0.5030655557302312</x:v>
      </x:c>
      <x:c r="L9" s="10" t="n">
        <x:f>IF(AND(ISNUMBER(E9),E9&gt;=0,ISNUMBER(I9),I9&gt;0,ISNUMBER(J9),J9&gt;=0),ROUNDUP(MAX(0,E9-J9)/I9,0),"")</x:f>
        <x:v>1</x:v>
      </x:c>
      <x:c r="M9" s="24" t="n">
        <x:f>IF(AND(ISNUMBER(L9),ISNUMBER(H9),H9&gt;=0),L9*I9*H9,"")</x:f>
        <x:v>1.2576638893255778</x:v>
      </x:c>
      <x:c r="N9" s="10" t="str">
        <x:v>Allowance</x:v>
      </x:c>
      <x:c r="O9" s="10" t="str"/>
      <x:c r="P9" s="10" t="str">
        <x:v>CAD hex circumradius3.3 gives5.716 mm across flats; pocket height 2.7. Relative to5.5×2.4 nut, total width allowance0.216 and height 0.3 mm; test printed pockets. Match material/finish to screws; do not force or substitute self-tapping.</x:v>
      </x:c>
      <x:c r="Q9" s="10" t="str">
        <x:v>FASTENER
Original unit input: NTD 2. Converted at 31.805 NTD/USD.
Listing shows small M3 fasteners around NTD 3 individually. Listed flat-head type is NOT the specified socket cap. Budget allowances 3/4/6 NTD for M3x8/16/35 cap screws, 2 for nuts and 1 for washers; local exact-type prices unverified.
https://www.ruten.com.tw/item/21306183365097/</x:v>
      </x:c>
      <x:c r="R9" s="10" t="str">
        <x:f>IF(AND(ISNUMBER(K9),ISNUMBER(M9)),"OK","Missing")</x:f>
        <x:v>OK</x:v>
      </x:c>
      <x:c r="S9"/>
      <x:c r="T9"/>
      <x:c r="U9"/>
      <x:c r="V9"/>
      <x:c r="W9"/>
    </x:row>
    <x:row r="10" ht="138" customHeight="1">
      <x:c r="A10" s="10" t="str">
        <x:v>H05</x:v>
      </x:c>
      <x:c r="B10" s="10" t="str">
        <x:v>M3 flat washer</x:v>
      </x:c>
      <x:c r="C10" s="10" t="str">
        <x:v>Nominal ID3.2, OD7.0, thickness 0.5 mm; flat form, 6 pieces. M3 does not mean an exact3.0-mm bore.</x:v>
      </x:c>
      <x:c r="D10" s="10" t="str">
        <x:v>Spread head bearing load; 4 PCB+2 fan.
Under each M3×8 and M3×16 head; none additionally counted for M3×35.</x:v>
      </x:c>
      <x:c r="E10" s="10" t="n">
        <x:v>6</x:v>
      </x:c>
      <x:c r="F10" s="10" t="str">
        <x:v>pc</x:v>
      </x:c>
      <x:c r="G10" s="10" t="str">
        <x:v>Required</x:v>
      </x:c>
      <x:c r="H10" s="19" t="n">
        <x:v>0.03144159723313945</x:v>
      </x:c>
      <x:c r="I10" s="18" t="n">
        <x:v>20</x:v>
      </x:c>
      <x:c r="J10" s="18" t="n">
        <x:v>0</x:v>
      </x:c>
      <x:c r="K10" s="24" t="n">
        <x:f>IF(AND(ISNUMBER(E10),E10&gt;=0,ISNUMBER(H10),H10&gt;=0),E10*H10,"")</x:f>
        <x:v>0.1886495833988367</x:v>
      </x:c>
      <x:c r="L10" s="10" t="n">
        <x:f>IF(AND(ISNUMBER(E10),E10&gt;=0,ISNUMBER(I10),I10&gt;0,ISNUMBER(J10),J10&gt;=0),ROUNDUP(MAX(0,E10-J10)/I10,0),"")</x:f>
        <x:v>1</x:v>
      </x:c>
      <x:c r="M10" s="24" t="n">
        <x:f>IF(AND(ISNUMBER(L10),ISNUMBER(H10),H10&gt;=0),L10*I10*H10,"")</x:f>
        <x:v>0.6288319446627889</x:v>
      </x:c>
      <x:c r="N10" s="10" t="str">
        <x:v>Allowance</x:v>
      </x:c>
      <x:c r="O10" s="10" t="str"/>
      <x:c r="P10" s="10" t="str">
        <x:v>OD7 mm is a procurement reference; PCB copper keep-out remains unverified. Metal must not touch exposed copper. Conductive versus insulating material requires vendor approval; insulating washers also need creep/thickness checks. A thicker substitute changes the screw stack.</x:v>
      </x:c>
      <x:c r="Q10" s="10" t="str">
        <x:v>FASTENER
Original unit input: NTD 1. Converted at 31.805 NTD/USD.
Listing shows small M3 fasteners around NTD 3 individually. Listed flat-head type is NOT the specified socket cap. Budget allowances 3/4/6 NTD for M3x8/16/35 cap screws, 2 for nuts and 1 for washers; local exact-type prices unverified.
https://www.ruten.com.tw/item/21306183365097/</x:v>
      </x:c>
      <x:c r="R10" s="10" t="str">
        <x:f>IF(AND(ISNUMBER(K10),ISNUMBER(M10)),"OK","Missing")</x:f>
        <x:v>OK</x:v>
      </x:c>
      <x:c r="S10"/>
      <x:c r="T10"/>
      <x:c r="U10"/>
      <x:c r="V10"/>
      <x:c r="W10"/>
    </x:row>
    <x:row r="11" ht="138" customHeight="1">
      <x:c r="A11" s="10" t="str">
        <x:v>E01</x:v>
      </x:c>
      <x:c r="B11" s="10" t="str">
        <x:v>Wire, insulating sleeve and retention supplies</x:v>
      </x:c>
      <x:c r="C11" s="10" t="str">
        <x:v>One set:5 V/GND wiring, joint insulation and wire retention; cut length to routing. Wire gauge, connector, insulation rating and retention method require supplier approval; no fan socket is verified.</x:v>
      </x:c>
      <x:c r="D11" s="10" t="str">
        <x:v>Supply fan and prevent strain, shorts and blade contact.
Along base perimeter, clear of fan rotor, PCB pillars and ESP32 antenna.</x:v>
      </x:c>
      <x:c r="E11" s="10" t="n">
        <x:v>1</x:v>
      </x:c>
      <x:c r="F11" s="10" t="str">
        <x:v>set</x:v>
      </x:c>
      <x:c r="G11" s="10" t="str">
        <x:v>Required</x:v>
      </x:c>
      <x:c r="H11" s="19" t="n">
        <x:v>2.5153277786511556</x:v>
      </x:c>
      <x:c r="I11" s="18" t="n">
        <x:v>1</x:v>
      </x:c>
      <x:c r="J11" s="18" t="n">
        <x:v>0</x:v>
      </x:c>
      <x:c r="K11" s="24" t="n">
        <x:f>IF(AND(ISNUMBER(E11),E11&gt;=0,ISNUMBER(H11),H11&gt;=0),E11*H11,"")</x:f>
        <x:v>2.5153277786511556</x:v>
      </x:c>
      <x:c r="L11" s="10" t="n">
        <x:f>IF(AND(ISNUMBER(E11),E11&gt;=0,ISNUMBER(I11),I11&gt;0,ISNUMBER(J11),J11&gt;=0),ROUNDUP(MAX(0,E11-J11)/I11,0),"")</x:f>
        <x:v>1</x:v>
      </x:c>
      <x:c r="M11" s="24" t="n">
        <x:f>IF(AND(ISNUMBER(L11),ISNUMBER(H11),H11&gt;=0),L11*I11*H11,"")</x:f>
        <x:v>2.5153277786511556</x:v>
      </x:c>
      <x:c r="N11" s="10" t="str">
        <x:v>Allowance</x:v>
      </x:c>
      <x:c r="O11" s="10" t="str"/>
      <x:c r="P11" s="10" t="str">
        <x:v>Use only vendor-approved5 V/GND. A TPS61023 boost architecture is drawn, but missing passives/current margin prevent a battery-mode5 V claim. Do not connect to GPIO/arbitrary3.3 V. No added boost module is specified.</x:v>
      </x:c>
      <x:c r="Q11" s="10" t="str">
        <x:v>TOOLS
Original unit input: NTD 80. Converted at 31.805 NTD/USD.
Engineering allowances only: hand tools/calipers NTD 1500; DMM 800; scope 10000; pipette/tips 4000; print/post-cure supplies 300. Borrow existing printer, wash/cure equipment, PC, phone, biosafety/cell facilities. Their capital replacement prices are outside this BOM.
</x:v>
      </x:c>
      <x:c r="R11" s="10" t="str">
        <x:f>IF(AND(ISNUMBER(K11),ISNUMBER(M11)),"OK","Missing")</x:f>
        <x:v>OK</x:v>
      </x:c>
      <x:c r="S11"/>
      <x:c r="T11"/>
      <x:c r="U11"/>
      <x:c r="V11"/>
      <x:c r="W11"/>
    </x:row>
    <x:row r="12" ht="123" customHeight="1">
      <x:c r="A12" s="10" t="str">
        <x:v>S01</x:v>
      </x:c>
      <x:c r="B12" s="10" t="str">
        <x:v>0.8 mm opaque silicone sheet</x:v>
      </x:c>
      <x:c r="C12" s="10" t="str">
        <x:v>One sheet for3 pieces: lower20×18 with four4×2.8 openings at(±3.3, ±2.65); upper ring18.4×15.6 outside/14.8×12 inside; PD ring4×4 outside/3×3.4 inside. Stock0.8 compressed nominally to0.6 mm(25%); sheet area must include all cuts plus trimming allowance.</x:v>
      </x:c>
      <x:c r="D12" s="10" t="str">
        <x:v>Seal well mouths and cap; block light around PD.
LowerZ55.5–56.1; upperZ57.3–57.9; PD ringZ40.5–41.1 after nominal compression.</x:v>
      </x:c>
      <x:c r="E12" s="10" t="n">
        <x:v>1</x:v>
      </x:c>
      <x:c r="F12" s="10" t="str">
        <x:v>sheet</x:v>
      </x:c>
      <x:c r="G12" s="10" t="str">
        <x:v>Required</x:v>
      </x:c>
      <x:c r="H12" s="19" t="n">
        <x:v>4.716239584970917</x:v>
      </x:c>
      <x:c r="I12" s="18" t="n">
        <x:v>1</x:v>
      </x:c>
      <x:c r="J12" s="18" t="n">
        <x:v>0</x:v>
      </x:c>
      <x:c r="K12" s="24" t="n">
        <x:f>IF(AND(ISNUMBER(E12),E12&gt;=0,ISNUMBER(H12),H12&gt;=0),E12*H12,"")</x:f>
        <x:v>4.716239584970917</x:v>
      </x:c>
      <x:c r="L12" s="10" t="n">
        <x:f>IF(AND(ISNUMBER(E12),E12&gt;=0,ISNUMBER(I12),I12&gt;0,ISNUMBER(J12),J12&gt;=0),ROUNDUP(MAX(0,E12-J12)/I12,0),"")</x:f>
        <x:v>1</x:v>
      </x:c>
      <x:c r="M12" s="24" t="n">
        <x:f>IF(AND(ISNUMBER(L12),ISNUMBER(H12),H12&gt;=0),L12*I12*H12,"")</x:f>
        <x:v>4.716239584970917</x:v>
      </x:c>
      <x:c r="N12" s="10" t="str">
        <x:v>Allowance</x:v>
      </x:c>
      <x:c r="O12" s="10" t="str"/>
      <x:c r="P12" s="10" t="str">
        <x:v>Hardness, compression set, thickness tolerance, VOC sorption/permeation, cleaning and cell-environment compatibility remain unqualified. PD ring minimum wall 0.3 mm and tiny aperture alignment margin require the100% SVG and real PD window. Black appearance does not prove opacity or gas sealing.</x:v>
      </x:c>
      <x:c r="Q12" s="10" t="str">
        <x:v>SEAL
Original unit input: NTD 150. Converted at 31.805 NTD/USD.
0.8 mm selectable stock; exact price unavailable. NTD 150 per small sheet is an engineering allowance, not a verified selling price. Hardness and VOC compatibility unqualified.
https://www.ruten.com.tw/item/22517308416481/</x:v>
      </x:c>
      <x:c r="R12" s="10" t="str">
        <x:f>IF(AND(ISNUMBER(K12),ISNUMBER(M12)),"OK","Missing")</x:f>
        <x:v>OK</x:v>
      </x:c>
      <x:c r="S12"/>
      <x:c r="T12"/>
      <x:c r="U12"/>
      <x:c r="V12"/>
      <x:c r="W12"/>
    </x:row>
    <x:row r="13" ht="108" customHeight="1">
      <x:c r="A13" s="10" t="str">
        <x:v>E02</x:v>
      </x:c>
      <x:c r="B13" s="10" t="str">
        <x:v>USB-C external supply</x:v>
      </x:c>
      <x:c r="C13" s="10" t="str">
        <x:v>Vendor-confirmed USB-C approximately 5 V input; price proxy is 5.1 V 3 A with cable. Battery excluded.</x:v>
      </x:c>
      <x:c r="D13" s="10" t="str">
        <x:v>Power PCB; battery operation first requires approved charging/protection settings.
USB-C to J2; battery to J1 Battery_Case according to physical holder/polarity.</x:v>
      </x:c>
      <x:c r="E13" s="10" t="n">
        <x:v>1</x:v>
      </x:c>
      <x:c r="F13" s="10" t="str">
        <x:v>set</x:v>
      </x:c>
      <x:c r="G13" s="10" t="str">
        <x:v>Required</x:v>
      </x:c>
      <x:c r="H13" s="19" t="n">
        <x:v>8.74</x:v>
      </x:c>
      <x:c r="I13" s="18" t="n">
        <x:v>1</x:v>
      </x:c>
      <x:c r="J13" s="18" t="n">
        <x:v>0</x:v>
      </x:c>
      <x:c r="K13" s="24" t="n">
        <x:f>IF(AND(ISNUMBER(E13),E13&gt;=0,ISNUMBER(H13),H13&gt;=0),E13*H13,"")</x:f>
        <x:v>8.74</x:v>
      </x:c>
      <x:c r="L13" s="10" t="n">
        <x:f>IF(AND(ISNUMBER(E13),E13&gt;=0,ISNUMBER(I13),I13&gt;0,ISNUMBER(J13),J13&gt;=0),ROUNDUP(MAX(0,E13-J13)/I13,0),"")</x:f>
        <x:v>1</x:v>
      </x:c>
      <x:c r="M13" s="24" t="n">
        <x:f>IF(AND(ISNUMBER(L13),ISNUMBER(H13),H13&gt;=0),L13*I13*H13,"")</x:f>
        <x:v>8.74</x:v>
      </x:c>
      <x:c r="N13" s="10" t="str">
        <x:v>Proxy</x:v>
      </x:c>
      <x:c r="O13" s="10" t="str"/>
      <x:c r="P13" s="10" t="str">
        <x:v>J1 connects BAT/GND, but holder dimensions/polarity and charge-setting R1–R3/TS R9 values are missing. Do not specify18650 chemistry/protection from photographs. TPS61023 output is labeled5 V but R6/R8 and other values are absent; vendor must confirm power and fan capability in both modes.</x:v>
      </x:c>
      <x:c r="Q13" s="10" t="str">
        <x:v>POWER
Original unit input: USD 8.74. No conversion.
USD 8.74, 5.1 V 3 A with cable. Price benchmark only; vendor must confirm input and charging configuration. Current budget uses external power, not an unconfirmed battery.
https://www.adafruit.com/product/4298</x:v>
      </x:c>
      <x:c r="R13" s="10" t="str">
        <x:f>IF(AND(ISNUMBER(K13),ISNUMBER(M13)),"OK","Missing")</x:f>
        <x:v>OK</x:v>
      </x:c>
      <x:c r="S13"/>
      <x:c r="T13"/>
      <x:c r="U13"/>
      <x:c r="V13"/>
      <x:c r="W13"/>
    </x:row>
    <x:row r="14" ht="138" customHeight="1">
      <x:c r="A14" s="10" t="str">
        <x:v>G01</x:v>
      </x:c>
      <x:c r="B14" s="10" t="str">
        <x:v>0.2 µm hydrophobic gas filter</x:v>
      </x:c>
      <x:c r="C14" s="10" t="str">
        <x:v>Two, one inlet and one outlet; gas-rated hydrophobic medium, 0.2 µm pore size. Membrane, area, housing, fittings and MPN undecided; a liquid syringe-filter label does not establish gas suitability.</x:v>
      </x:c>
      <x:c r="D14" s="10" t="str">
        <x:v>Reduce inlet/outlet particulate transport; not whole-device sterility certification.
Inlet filter between sample and inlet; outlet filter between outlet and downstream pump.</x:v>
      </x:c>
      <x:c r="E14" s="10" t="n">
        <x:v>2</x:v>
      </x:c>
      <x:c r="F14" s="10" t="str">
        <x:v>pc</x:v>
      </x:c>
      <x:c r="G14" s="10" t="str">
        <x:v>Required</x:v>
      </x:c>
      <x:c r="H14" s="19" t="n">
        <x:v>0.95</x:v>
      </x:c>
      <x:c r="I14" s="18" t="n">
        <x:v>100</x:v>
      </x:c>
      <x:c r="J14" s="18" t="n">
        <x:v>0</x:v>
      </x:c>
      <x:c r="K14" s="24" t="n">
        <x:f>IF(AND(ISNUMBER(E14),E14&gt;=0,ISNUMBER(H14),H14&gt;=0),E14*H14,"")</x:f>
        <x:v>1.9</x:v>
      </x:c>
      <x:c r="L14" s="10" t="n">
        <x:f>IF(AND(ISNUMBER(E14),E14&gt;=0,ISNUMBER(I14),I14&gt;0,ISNUMBER(J14),J14&gt;=0),ROUNDUP(MAX(0,E14-J14)/I14,0),"")</x:f>
        <x:v>1</x:v>
      </x:c>
      <x:c r="M14" s="24" t="n">
        <x:f>IF(AND(ISNUMBER(L14),ISNUMBER(H14),H14&gt;=0),L14*I14*H14,"")</x:f>
        <x:v>95</x:v>
      </x:c>
      <x:c r="N14" s="10" t="str">
        <x:v>Proxy</x:v>
      </x:c>
      <x:c r="O14" s="10" t="str"/>
      <x:c r="P14" s="10" t="str">
        <x:v>Obtain air pressure drop near3 mL/min, direction, pressure limits, wetting behavior, fittings and cleaning/sterilization information; measure target-VOC recovery/lag. Pore size does not prove zero VOC sorption or absolute containment. Price proxy ANP1322 is 0.22 um and nonsterile; it is not a qualified replacement for the specified 0.2 um gas filter.</x:v>
      </x:c>
      <x:c r="Q14" s="10" t="str">
        <x:v>GASFILTER
Original unit input: USD 0.95. No conversion.
USD 95 per 100. Hydrophobic PTFE, 13 mm, 0.22 um, NONSTERILE, air venting listed. Price proxy for 0.2 um gas-filter requirement, not certified sterile replacement. Two used per device; buying a box costs 100 filters.
https://www.gilson.com/default/catalog/product/view/id/1204/</x:v>
      </x:c>
      <x:c r="R14" s="10" t="str">
        <x:f>IF(AND(ISNUMBER(K14),ISNUMBER(M14)),"OK","Missing")</x:f>
        <x:v>OK</x:v>
      </x:c>
      <x:c r="S14"/>
      <x:c r="T14"/>
      <x:c r="U14"/>
      <x:c r="V14"/>
      <x:c r="W14"/>
    </x:row>
    <x:row r="15" ht="123" customHeight="1">
      <x:c r="A15" s="10" t="str">
        <x:v>G02</x:v>
      </x:c>
      <x:c r="B15" s="10" t="str">
        <x:v>PTFE gas tubing</x:v>
      </x:c>
      <x:c r="C15" s="10" t="str">
        <x:v>Candidate ID2.0/OD3.0 mm; procurement basis1 m. Cut shortest practical lengths and connect through G03.</x:v>
      </x:c>
      <x:c r="D15" s="10" t="str">
        <x:v>Connect sample, filters and device while limiting unnecessary dead volume.
External gas path near side slots; do not force directly onto printed tails.</x:v>
      </x:c>
      <x:c r="E15" s="10" t="n">
        <x:v>1</x:v>
      </x:c>
      <x:c r="F15" s="10" t="str">
        <x:v>m</x:v>
      </x:c>
      <x:c r="G15" s="10" t="str">
        <x:v>Required</x:v>
      </x:c>
      <x:c r="H15" s="19" t="n">
        <x:v>6.288319446627889</x:v>
      </x:c>
      <x:c r="I15" s="18" t="n">
        <x:v>1</x:v>
      </x:c>
      <x:c r="J15" s="18" t="n">
        <x:v>0</x:v>
      </x:c>
      <x:c r="K15" s="24" t="n">
        <x:f>IF(AND(ISNUMBER(E15),E15&gt;=0,ISNUMBER(H15),H15&gt;=0),E15*H15,"")</x:f>
        <x:v>6.288319446627889</x:v>
      </x:c>
      <x:c r="L15" s="10" t="n">
        <x:f>IF(AND(ISNUMBER(E15),E15&gt;=0,ISNUMBER(I15),I15&gt;0,ISNUMBER(J15),J15&gt;=0),ROUNDUP(MAX(0,E15-J15)/I15,0),"")</x:f>
        <x:v>1</x:v>
      </x:c>
      <x:c r="M15" s="24" t="n">
        <x:f>IF(AND(ISNUMBER(L15),ISNUMBER(H15),H15&gt;=0),L15*I15*H15,"")</x:f>
        <x:v>6.288319446627889</x:v>
      </x:c>
      <x:c r="N15" s="10" t="str">
        <x:v>Allowance</x:v>
      </x:c>
      <x:c r="O15" s="10" t="str"/>
      <x:c r="P15" s="10" t="str">
        <x:v>Verify wall/bend radius, tolerances and VOC recovery.1 m of ID2-mm tubing holds about3.14 mL; at3 mL/min nominal residence alone is about63 s. Chamber ~50-s t90 is not complete-system response time.</x:v>
      </x:c>
      <x:c r="Q15" s="10" t="str">
        <x:v>PTFE
Original unit input: NTD 200. Converted at 31.805 NTD/USD.
Search listing USD 4.99; sold length not verified. NTD 200 per 1 m is a separate allowance. Printer-feed tubing is not qualified analytical tubing.
https://tinkersphere.com/3d-printer-parts-supplies/2015-ptfe-teflon-tube-2mm-id-3mm-od-for-175-mm-filament.html</x:v>
      </x:c>
      <x:c r="R15" s="10" t="str">
        <x:f>IF(AND(ISNUMBER(K15),ISNUMBER(M15)),"OK","Missing")</x:f>
        <x:v>OK</x:v>
      </x:c>
      <x:c r="S15"/>
      <x:c r="T15"/>
      <x:c r="U15"/>
      <x:c r="V15"/>
      <x:c r="W15"/>
    </x:row>
    <x:row r="16" ht="123" customHeight="1">
      <x:c r="A16" s="10" t="str">
        <x:v>G03</x:v>
      </x:c>
      <x:c r="B16" s="10" t="str">
        <x:v>Soft-tube couplings and fitting adapters</x:v>
      </x:c>
      <x:c r="C16" s="10" t="str">
        <x:v>One set covering at least two printed-tail joints and required filter/PTFE adapters. Printed tail OD3.4, ridge4.0, bore2.4 mm; PTFE OD3.0. Final soft-tube ID/OD, material, length and fittings await filter selection and off-board fit tests; no claimed matched MPN.</x:v>
      </x:c>
      <x:c r="D16" s="10" t="str">
        <x:v>Make removable joints between rigid PTFE/filters and fragile printed tails.
Lid-X inlet/+X outlet, Y0/Z60.8, routed through hood side slots.</x:v>
      </x:c>
      <x:c r="E16" s="10" t="n">
        <x:v>1</x:v>
      </x:c>
      <x:c r="F16" s="10" t="str">
        <x:v>set</x:v>
      </x:c>
      <x:c r="G16" s="10" t="str">
        <x:v>Required</x:v>
      </x:c>
      <x:c r="H16" s="19" t="n">
        <x:v>4.716239584970917</x:v>
      </x:c>
      <x:c r="I16" s="18" t="n">
        <x:v>1</x:v>
      </x:c>
      <x:c r="J16" s="18" t="n">
        <x:v>0</x:v>
      </x:c>
      <x:c r="K16" s="24" t="n">
        <x:f>IF(AND(ISNUMBER(E16),E16&gt;=0,ISNUMBER(H16),H16&gt;=0),E16*H16,"")</x:f>
        <x:v>4.716239584970917</x:v>
      </x:c>
      <x:c r="L16" s="10" t="n">
        <x:f>IF(AND(ISNUMBER(E16),E16&gt;=0,ISNUMBER(I16),I16&gt;0,ISNUMBER(J16),J16&gt;=0),ROUNDUP(MAX(0,E16-J16)/I16,0),"")</x:f>
        <x:v>1</x:v>
      </x:c>
      <x:c r="M16" s="24" t="n">
        <x:f>IF(AND(ISNUMBER(L16),ISNUMBER(H16),H16&gt;=0),L16*I16*H16,"")</x:f>
        <x:v>4.716239584970917</x:v>
      </x:c>
      <x:c r="N16" s="10" t="str">
        <x:v>Allowance</x:v>
      </x:c>
      <x:c r="O16" s="10" t="str"/>
      <x:c r="P16" s="10" t="str">
        <x:v>Coupling must pass4-mm ridge without splitting nominal0.5-mm printed wall. Tip-to-rib insertion length is about4.8 mm, not the full10-mm tail. Side slot height 7 mm also limits OD/bend. Off-board test retention, leaks, VOC sorption and unrestricted outlet.</x:v>
      </x:c>
      <x:c r="Q16" s="10" t="str">
        <x:v>COUPLER
Original unit input: NTD 150. Converted at 31.805 NTD/USD.
Related tubing listed USD 2.50 per metre. Budget NTD 150 includes short flexible couplers and matching adapters. Exact ID/OD, Luer interfaces and VOC recovery must be checked; no fit guarantee.
https://www.adafruit.com/product/4699</x:v>
      </x:c>
      <x:c r="R16" s="10" t="str">
        <x:f>IF(AND(ISNUMBER(K16),ISNUMBER(M16)),"OK","Missing")</x:f>
        <x:v>OK</x:v>
      </x:c>
      <x:c r="S16"/>
      <x:c r="T16"/>
      <x:c r="U16"/>
      <x:c r="V16"/>
      <x:c r="W16"/>
    </x:row>
    <x:row r="17" ht="168" customHeight="1">
      <x:c r="A17" s="10" t="str">
        <x:v>O01</x:v>
      </x:c>
      <x:c r="B17" s="10" t="str">
        <x:v>Fluorescence emission filter</x:v>
      </x:c>
      <x:c r="C17" s="10" t="str">
        <x:v>One piece, mechanical maximum5.2×4.2×1.0 mm; pocket5.4×4.4, clear aperture4.8×3.8 mm. Cover optical path without edge bypass. Supplier brief:LED peak~468/model470 nm and target GCaMP/fluorescein green~520 nm; request spectral transmission/blocking and angle curves.</x:v>
      </x:c>
      <x:c r="D17" s="10" t="str">
        <x:v>Reject synchronous excitation leakage while passing green fluorescence.
Central filter seat in hood02, bottomZ41.1, above PD.</x:v>
      </x:c>
      <x:c r="E17" s="10" t="n">
        <x:v>1</x:v>
      </x:c>
      <x:c r="F17" s="10" t="str">
        <x:v>pc</x:v>
      </x:c>
      <x:c r="G17" s="10" t="str">
        <x:v>Required</x:v>
      </x:c>
      <x:c r="H17" s="19" t="n">
        <x:v>377.2991667976733</x:v>
      </x:c>
      <x:c r="I17" s="18" t="n">
        <x:v>1</x:v>
      </x:c>
      <x:c r="J17" s="18" t="n">
        <x:v>0</x:v>
      </x:c>
      <x:c r="K17" s="24" t="n">
        <x:f>IF(AND(ISNUMBER(E17),E17&gt;=0,ISNUMBER(H17),H17&gt;=0),E17*H17,"")</x:f>
        <x:v>377.2991667976733</x:v>
      </x:c>
      <x:c r="L17" s="10" t="n">
        <x:f>IF(AND(ISNUMBER(E17),E17&gt;=0,ISNUMBER(I17),I17&gt;0,ISNUMBER(J17),J17&gt;=0),ROUNDUP(MAX(0,E17-J17)/I17,0),"")</x:f>
        <x:v>1</x:v>
      </x:c>
      <x:c r="M17" s="24" t="n">
        <x:f>IF(AND(ISNUMBER(L17),ISNUMBER(H17),H17&gt;=0),L17*I17*H17,"")</x:f>
        <x:v>377.2991667976733</x:v>
      </x:c>
      <x:c r="N17" s="10" t="str">
        <x:v>Custom allowance</x:v>
      </x:c>
      <x:c r="O17" s="10" t="str"/>
      <x:c r="P17" s="10" t="str">
        <x:v>No selected MPN. Model OD3/4/5 at470/520 nm and0.9 normal green transmission are design-study assumptions, not verified purchased performance. Collection includes large angles; obtain0–65° and higher-angle data/limits. Interference-filter spectral shift is not represented by the absorptive proxy. Verify edge coating, orientation, flatness, thickness and PD-seal fit.</x:v>
      </x:c>
      <x:c r="Q17" s="10" t="str">
        <x:v>OPTIC
Original unit input: NTD 12000. Converted at 31.805 NTD/USD.
USD 284, 12.5 mm diameter, substrate 2.00 +/-0.25 mm, mounted. Does NOT fit 5.2x4.2x1.0 mm seat. NTD 12000 is a custom thin-filter budget allowance, not a quote or available drop-in part. Cutting this stock part does not solve its thickness mismatch.
https://www.edmundoptics.com/p/520nm-cwl-125mm-dia-36nm-bandwidth-od-6-fluorescence-filter/21556/</x:v>
      </x:c>
      <x:c r="R17" s="10" t="str">
        <x:f>IF(AND(ISNUMBER(K17),ISNUMBER(M17)),"OK","Missing")</x:f>
        <x:v>OK</x:v>
      </x:c>
      <x:c r="S17"/>
      <x:c r="T17"/>
      <x:c r="U17"/>
      <x:c r="V17"/>
      <x:c r="W17"/>
    </x:row>
    <x:row r="18" ht="93" customHeight="1">
      <x:c r="A18" s="10" t="str">
        <x:v>P01</x:v>
      </x:c>
      <x:c r="B18" s="10" t="str">
        <x:v>3.3 V logic USB–UART adapter</x:v>
      </x:c>
      <x:c r="C18" s="10" t="str">
        <x:v>One shared adapter; TX/RX/GND with3.3 V logic, not RS-232. Computer driver/upload-rate support required; MPN and J3-compatible cable terminals undecided.</x:v>
      </x:c>
      <x:c r="D18" s="10" t="str">
        <x:v>Program ESP32 and read serial diagnostics.
Connect to J3; adapterTX to boardRX, RX to TX, common ground; normal board power through J2.</x:v>
      </x:c>
      <x:c r="E18" s="10" t="n">
        <x:v>1</x:v>
      </x:c>
      <x:c r="F18" s="10" t="str">
        <x:v>pc</x:v>
      </x:c>
      <x:c r="G18" s="10" t="str">
        <x:v>Developer</x:v>
      </x:c>
      <x:c r="H18" s="19" t="n">
        <x:v>5.95</x:v>
      </x:c>
      <x:c r="I18" s="18" t="n">
        <x:v>1</x:v>
      </x:c>
      <x:c r="J18" s="18" t="n">
        <x:v>0</x:v>
      </x:c>
      <x:c r="K18" s="24" t="n">
        <x:f>IF(AND(ISNUMBER(E18),E18&gt;=0,ISNUMBER(H18),H18&gt;=0),E18*H18,"")</x:f>
        <x:v>5.95</x:v>
      </x:c>
      <x:c r="L18" s="10" t="n">
        <x:f>IF(AND(ISNUMBER(E18),E18&gt;=0,ISNUMBER(I18),I18&gt;0,ISNUMBER(J18),J18&gt;=0),ROUNDUP(MAX(0,E18-J18)/I18,0),"")</x:f>
        <x:v>1</x:v>
      </x:c>
      <x:c r="M18" s="24" t="n">
        <x:f>IF(AND(ISNUMBER(L18),ISNUMBER(H18),H18&gt;=0),L18*I18*H18,"")</x:f>
        <x:v>5.95</x:v>
      </x:c>
      <x:c r="N18" s="10" t="str">
        <x:v>Listed</x:v>
      </x:c>
      <x:c r="O18" s="10" t="str"/>
      <x:c r="P18" s="10" t="str">
        <x:v>Confirm physical J3 pin1 and terminal pitch. Leave adapterVCC disconnected with normal board power. J2 has no USB–UART bridge; never apply5 V UART signalling to ESP32.</x:v>
      </x:c>
      <x:c r="Q18" s="10" t="str">
        <x:v>UART
Original unit input: USD 5.95. No conversion.
USD 5.95 each. Signals 3.3 V; power wire 5 V. Leave VCC disconnected at J3. Cable and jumper wires separate.
https://www.adafruit.com/product/5335</x:v>
      </x:c>
      <x:c r="R18" s="10" t="str">
        <x:f>IF(AND(ISNUMBER(K18),ISNUMBER(M18)),"OK","Missing")</x:f>
        <x:v>OK</x:v>
      </x:c>
      <x:c r="S18"/>
      <x:c r="T18"/>
      <x:c r="U18"/>
      <x:c r="V18"/>
      <x:c r="W18"/>
    </x:row>
    <x:row r="19" ht="153" customHeight="1">
      <x:c r="A19" s="10" t="str">
        <x:v>L01</x:v>
      </x:c>
      <x:c r="B19" s="10" t="str">
        <x:v>Suction,flow and pressure equipment</x:v>
      </x:c>
      <x:c r="C19" s="10" t="str">
        <x:v>One shared/borrowed set:one controllable downstream suction source, gas flowmeter resolving~3 mL/min, pressure monitoring and independent limiting. Range, resolution, calibration, MPN and pressure limit remain undecided; no second independently set push pump.</x:v>
      </x:c>
      <x:c r="D19" s="10" t="str">
        <x:v>Provide measured shared sample flow.
Suction downstream of outlet filter, with lab-approved exhaust.</x:v>
      </x:c>
      <x:c r="E19" s="10" t="n">
        <x:v>1</x:v>
      </x:c>
      <x:c r="F19" s="10" t="str">
        <x:v>set</x:v>
      </x:c>
      <x:c r="G19" s="10" t="str">
        <x:v>Developer</x:v>
      </x:c>
      <x:c r="H19" s="19" t="n">
        <x:v>157.2079861656972</x:v>
      </x:c>
      <x:c r="I19" s="18" t="n">
        <x:v>1</x:v>
      </x:c>
      <x:c r="J19" s="18" t="n">
        <x:v>0</x:v>
      </x:c>
      <x:c r="K19" s="24" t="n">
        <x:f>IF(AND(ISNUMBER(E19),E19&gt;=0,ISNUMBER(H19),H19&gt;=0),E19*H19,"")</x:f>
        <x:v>157.2079861656972</x:v>
      </x:c>
      <x:c r="L19" s="10" t="n">
        <x:f>IF(AND(ISNUMBER(E19),E19&gt;=0,ISNUMBER(I19),I19&gt;0,ISNUMBER(J19),J19&gt;=0),ROUNDUP(MAX(0,E19-J19)/I19,0),"")</x:f>
        <x:v>1</x:v>
      </x:c>
      <x:c r="M19" s="24" t="n">
        <x:f>IF(AND(ISNUMBER(L19),ISNUMBER(H19),H19&gt;=0),L19*I19*H19,"")</x:f>
        <x:v>157.2079861656972</x:v>
      </x:c>
      <x:c r="N19" s="10" t="str">
        <x:v>Allowance</x:v>
      </x:c>
      <x:c r="O19" s="10" t="str"/>
      <x:c r="P19" s="10" t="str">
        <x:v>3 mL/min is a conditional fixed-CAD candidate, not a cell-safety limit. Measure assembled system; steady inlet/outlet volume rates match at common temperature/pressure. Chamber CFD excludes filters/tubing. Do not expose wells directly to pump maximum suction; baffle is not pressure regulation.</x:v>
      </x:c>
      <x:c r="Q19" s="10" t="str">
        <x:v>PUMP
Original unit input: NTD 5000. Converted at 31.805 NTD/USD.
USD 7.95 for pump alone. 2.5 L/min, intermittent duty; NOT a selected 3 mL/min continuous source. NTD 5000 system allowance requires a qualified controlled source, bypass/regulation, pressure protection, fittings and supply. Borrow a suitable lab system first.
https://www.adafruit.com/product/4699</x:v>
      </x:c>
      <x:c r="R19" s="10" t="str">
        <x:f>IF(AND(ISNUMBER(K19),ISNUMBER(M19)),"OK","Missing")</x:f>
        <x:v>OK</x:v>
      </x:c>
      <x:c r="S19"/>
      <x:c r="T19"/>
      <x:c r="U19"/>
      <x:c r="V19"/>
      <x:c r="W19"/>
    </x:row>
    <x:row r="20" ht="153" customHeight="1">
      <x:c r="A20" s="10" t="str">
        <x:v>L02</x:v>
      </x:c>
      <x:c r="B20" s="10" t="str">
        <x:v>Measurement and assembly hand tools</x:v>
      </x:c>
      <x:c r="C20" s="10" t="str">
        <x:v>Calipers, 2.5 mm hex key, tweezers and craft knife; one set, borrow first.</x:v>
      </x:c>
      <x:c r="D20" s="10" t="str">
        <x:v>Postprocess, measure and assemble.
Workbench; supplies/tools are not product-installed parts.</x:v>
      </x:c>
      <x:c r="E20" s="10" t="n">
        <x:v>1</x:v>
      </x:c>
      <x:c r="F20" s="10" t="str">
        <x:v>set</x:v>
      </x:c>
      <x:c r="G20" s="10" t="str">
        <x:v>Developer</x:v>
      </x:c>
      <x:c r="H20" s="19" t="n">
        <x:v>47.16239584970916</x:v>
      </x:c>
      <x:c r="I20" s="18" t="n">
        <x:v>1</x:v>
      </x:c>
      <x:c r="J20" s="18" t="n">
        <x:v>0</x:v>
      </x:c>
      <x:c r="K20" s="24" t="n">
        <x:f>IF(AND(ISNUMBER(E20),E20&gt;=0,ISNUMBER(H20),H20&gt;=0),E20*H20,"")</x:f>
        <x:v>47.16239584970916</x:v>
      </x:c>
      <x:c r="L20" s="10" t="n">
        <x:f>IF(AND(ISNUMBER(E20),E20&gt;=0,ISNUMBER(I20),I20&gt;0,ISNUMBER(J20),J20&gt;=0),ROUNDUP(MAX(0,E20-J20)/I20,0),"")</x:f>
        <x:v>1</x:v>
      </x:c>
      <x:c r="M20" s="24" t="n">
        <x:f>IF(AND(ISNUMBER(L20),ISNUMBER(H20),H20&gt;=0),L20*I20*H20,"")</x:f>
        <x:v>47.16239584970916</x:v>
      </x:c>
      <x:c r="N20" s="10" t="str">
        <x:v>Allowance</x:v>
      </x:c>
      <x:c r="O20" s="10" t="str"/>
      <x:c r="P20" s="10" t="str">
        <x:v>Use resin-validated settings, no universal exposure/torque claim. Must measure/clean0.8-mm gaskets, 0.5-mm well floors and small bores. Existing equipment is declared as owned/borrowed rather than free.</x:v>
      </x:c>
      <x:c r="Q20" s="10" t="str">
        <x:v>TOOLS
Original unit input: NTD 1500. Converted at 31.805 NTD/USD.
Engineering allowances only: hand tools/calipers NTD 1500; DMM 800; scope 10000; pipette/tips 4000; print/post-cure supplies 300. Borrow existing printer, wash/cure equipment, PC, phone, biosafety/cell facilities. Their capital replacement prices are outside this BOM.
</x:v>
      </x:c>
      <x:c r="R20" s="10" t="str">
        <x:f>IF(AND(ISNUMBER(K20),ISNUMBER(M20)),"OK","Missing")</x:f>
        <x:v>OK</x:v>
      </x:c>
      <x:c r="S20"/>
      <x:c r="T20"/>
      <x:c r="U20"/>
      <x:c r="V20"/>
      <x:c r="W20"/>
    </x:row>
    <x:row r="21" ht="123" customHeight="1">
      <x:c r="A21" s="10" t="str">
        <x:v>L03</x:v>
      </x:c>
      <x:c r="B21" s="10" t="str">
        <x:v>Sodium fluorescein</x:v>
      </x:c>
      <x:c r="C21" s="10" t="str">
        <x:v>46970, market price per 100 g bottle. Prefer a documented stock aliquot for small tests. No electrical meter included.</x:v>
      </x:c>
      <x:c r="D21" s="10" t="str">
        <x:v>Run cell-free optical, mixing, concentration and electrical checks before cell work.
Validation bench/existing laboratory.</x:v>
      </x:c>
      <x:c r="E21" s="10" t="n">
        <x:v>1</x:v>
      </x:c>
      <x:c r="F21" s="10" t="str">
        <x:v>set</x:v>
      </x:c>
      <x:c r="G21" s="10" t="str">
        <x:v>Developer</x:v>
      </x:c>
      <x:c r="H21" s="19" t="n">
        <x:v>52.6</x:v>
      </x:c>
      <x:c r="I21" s="18" t="n">
        <x:v>1</x:v>
      </x:c>
      <x:c r="J21" s="18" t="n">
        <x:v>0</x:v>
      </x:c>
      <x:c r="K21" s="24" t="n">
        <x:f>IF(AND(ISNUMBER(E21),E21&gt;=0,ISNUMBER(H21),H21&gt;=0),E21*H21,"")</x:f>
        <x:v>52.6</x:v>
      </x:c>
      <x:c r="L21" s="10" t="n">
        <x:f>IF(AND(ISNUMBER(E21),E21&gt;=0,ISNUMBER(I21),I21&gt;0,ISNUMBER(J21),J21&gt;=0),ROUNDUP(MAX(0,E21-J21)/I21,0),"")</x:f>
        <x:v>1</x:v>
      </x:c>
      <x:c r="M21" s="24" t="n">
        <x:f>IF(AND(ISNUMBER(L21),ISNUMBER(H21),H21&gt;=0),L21*I21*H21,"")</x:f>
        <x:v>52.6</x:v>
      </x:c>
      <x:c r="N21" s="10" t="str">
        <x:v>Listed</x:v>
      </x:c>
      <x:c r="O21" s="10" t="str"/>
      <x:c r="P21" s="10" t="str">
        <x:v>Record stock concentration, solvent/pH and lot per validation guide. Instrument bandwidth/calibration/probe points require confirmation. A fluorescence standard does not establish GCaMP sensitivity, gas t90 or odor recognition.</x:v>
      </x:c>
      <x:c r="Q21" s="10" t="str">
        <x:v>DYE
Original unit input: USD 52.6. No conversion.
USD 52.60 per 100 g. Budget includes whole bottle, not a fictitious single-well quantity. Prefer a documented laboratory aliquot. Not an assay-specific or GCaMP-certified standard.
https://www.sigmaaldrich.com/US/en/product/sigma/46970</x:v>
      </x:c>
      <x:c r="R21" s="10" t="str">
        <x:f>IF(AND(ISNUMBER(K21),ISNUMBER(M21)),"OK","Missing")</x:f>
        <x:v>OK</x:v>
      </x:c>
      <x:c r="S21"/>
      <x:c r="T21"/>
      <x:c r="U21"/>
      <x:c r="V21"/>
      <x:c r="W21"/>
    </x:row>
    <x:row r="22" ht="138" customHeight="1">
      <x:c r="A22" s="10" t="str">
        <x:v>P02</x:v>
      </x:c>
      <x:c r="B22" s="10" t="str">
        <x:v>USB data cable and UART leads</x:v>
      </x:c>
      <x:c r="C22" s="10" t="str">
        <x:v>One adapter-compatible data cable and three J3-compatible signal leads.</x:v>
      </x:c>
      <x:c r="D22" s="10" t="str">
        <x:v>Connect computer to P01 and J3.
External shared equipment</x:v>
      </x:c>
      <x:c r="E22" s="10" t="n">
        <x:v>1</x:v>
      </x:c>
      <x:c r="F22" s="10" t="str">
        <x:v>set</x:v>
      </x:c>
      <x:c r="G22" s="10" t="str">
        <x:v>Developer</x:v>
      </x:c>
      <x:c r="H22" s="19" t="n">
        <x:v>4.716239584970917</x:v>
      </x:c>
      <x:c r="I22" s="18" t="n">
        <x:v>1</x:v>
      </x:c>
      <x:c r="J22" s="18" t="n">
        <x:v>0</x:v>
      </x:c>
      <x:c r="K22" s="24" t="n">
        <x:f>IF(AND(ISNUMBER(E22),E22&gt;=0,ISNUMBER(H22),H22&gt;=0),E22*H22,"")</x:f>
        <x:v>4.716239584970917</x:v>
      </x:c>
      <x:c r="L22" s="10" t="n">
        <x:f>IF(AND(ISNUMBER(E22),E22&gt;=0,ISNUMBER(I22),I22&gt;0,ISNUMBER(J22),J22&gt;=0),ROUNDUP(MAX(0,E22-J22)/I22,0),"")</x:f>
        <x:v>1</x:v>
      </x:c>
      <x:c r="M22" s="24" t="n">
        <x:f>IF(AND(ISNUMBER(L22),ISNUMBER(H22),H22&gt;=0),L22*I22*H22,"")</x:f>
        <x:v>4.716239584970917</x:v>
      </x:c>
      <x:c r="N22" s="10" t="str">
        <x:v>Allowance</x:v>
      </x:c>
      <x:c r="O22" s="10" t="str"/>
      <x:c r="P22" s="10" t="str">
        <x:v>Budget is not a confirmed compatible-part quotation. Borrow first; confirm model before purchase.</x:v>
      </x:c>
      <x:c r="Q22" s="10" t="str">
        <x:v>TOOLS
Original unit input: NTD 150. Converted at 31.805 NTD/USD.
Engineering allowances only: hand tools/calipers NTD 1500; DMM 800; scope 10000; pipette/tips 4000; print/post-cure supplies 300. Borrow existing printer, wash/cure equipment, PC, phone, biosafety/cell facilities. Their capital replacement prices are outside this BOM.
</x:v>
      </x:c>
      <x:c r="R22" s="10" t="str">
        <x:f>IF(AND(ISNUMBER(K22),ISNUMBER(M22)),"OK","Missing")</x:f>
        <x:v>OK</x:v>
      </x:c>
      <x:c r="S22"/>
      <x:c r="T22"/>
      <x:c r="U22"/>
      <x:c r="V22"/>
      <x:c r="W22"/>
    </x:row>
    <x:row r="23" ht="138" customHeight="1">
      <x:c r="A23" s="10" t="str">
        <x:v>L04</x:v>
      </x:c>
      <x:c r="B23" s="10" t="str">
        <x:v>Low-flow gas meter</x:v>
      </x:c>
      <x:c r="C23" s="10" t="str">
        <x:v>Calibrated measurement near 3 mL/min; a 10 mL/min lower range is unsuitable.</x:v>
      </x:c>
      <x:c r="D23" s="10" t="str">
        <x:v>Measure complete-path flow; excluded from L01.
External shared equipment</x:v>
      </x:c>
      <x:c r="E23" s="10" t="n">
        <x:v>1</x:v>
      </x:c>
      <x:c r="F23" s="10" t="str">
        <x:v>set</x:v>
      </x:c>
      <x:c r="G23" s="10" t="str">
        <x:v>Developer</x:v>
      </x:c>
      <x:c r="H23" s="19" t="n">
        <x:v>471.6239584970917</x:v>
      </x:c>
      <x:c r="I23" s="18" t="n">
        <x:v>1</x:v>
      </x:c>
      <x:c r="J23" s="18" t="n">
        <x:v>0</x:v>
      </x:c>
      <x:c r="K23" s="24" t="n">
        <x:f>IF(AND(ISNUMBER(E23),E23&gt;=0,ISNUMBER(H23),H23&gt;=0),E23*H23,"")</x:f>
        <x:v>471.6239584970917</x:v>
      </x:c>
      <x:c r="L23" s="10" t="n">
        <x:f>IF(AND(ISNUMBER(E23),E23&gt;=0,ISNUMBER(I23),I23&gt;0,ISNUMBER(J23),J23&gt;=0),ROUNDUP(MAX(0,E23-J23)/I23,0),"")</x:f>
        <x:v>1</x:v>
      </x:c>
      <x:c r="M23" s="24" t="n">
        <x:f>IF(AND(ISNUMBER(L23),ISNUMBER(H23),H23&gt;=0),L23*I23*H23,"")</x:f>
        <x:v>471.6239584970917</x:v>
      </x:c>
      <x:c r="N23" s="10" t="str">
        <x:v>Allowance</x:v>
      </x:c>
      <x:c r="O23" s="10" t="str"/>
      <x:c r="P23" s="10" t="str">
        <x:v>Budget is not a confirmed compatible-part quotation. Borrow first; confirm model before purchase.</x:v>
      </x:c>
      <x:c r="Q23" s="10" t="str">
        <x:v>FLOW
Original unit input: NTD 15000. Converted at 31.805 NTD/USD.
FL-320 nominal air range 0.02-15 cc/min. Historical price deliberately not treated as current. NTD 15000 is a planning allowance pending current calibrated meter quote; 3 mL/min must fall within usable range.
https://br.omega.com/omegaFiles/green/pdf/FL120.pdf</x:v>
      </x:c>
      <x:c r="R23" s="10" t="str">
        <x:f>IF(AND(ISNUMBER(K23),ISNUMBER(M23)),"OK","Missing")</x:f>
        <x:v>OK</x:v>
      </x:c>
      <x:c r="S23"/>
      <x:c r="T23"/>
      <x:c r="U23"/>
      <x:c r="V23"/>
      <x:c r="W23"/>
    </x:row>
    <x:row r="24" ht="138" customHeight="1">
      <x:c r="A24" s="10" t="str">
        <x:v>L05</x:v>
      </x:c>
      <x:c r="B24" s="10" t="str">
        <x:v>Digital multimeter</x:v>
      </x:c>
      <x:c r="C24" s="10" t="str">
        <x:v>DC voltage, resistance and continuity; insulated probes for low-voltage PCB work.</x:v>
      </x:c>
      <x:c r="D24" s="10" t="str">
        <x:v>Check rails and connections.
External shared equipment</x:v>
      </x:c>
      <x:c r="E24" s="10" t="n">
        <x:v>1</x:v>
      </x:c>
      <x:c r="F24" s="10" t="str">
        <x:v>set</x:v>
      </x:c>
      <x:c r="G24" s="10" t="str">
        <x:v>Developer</x:v>
      </x:c>
      <x:c r="H24" s="19" t="n">
        <x:v>25.153277786511556</x:v>
      </x:c>
      <x:c r="I24" s="18" t="n">
        <x:v>1</x:v>
      </x:c>
      <x:c r="J24" s="18" t="n">
        <x:v>0</x:v>
      </x:c>
      <x:c r="K24" s="24" t="n">
        <x:f>IF(AND(ISNUMBER(E24),E24&gt;=0,ISNUMBER(H24),H24&gt;=0),E24*H24,"")</x:f>
        <x:v>25.153277786511556</x:v>
      </x:c>
      <x:c r="L24" s="10" t="n">
        <x:f>IF(AND(ISNUMBER(E24),E24&gt;=0,ISNUMBER(I24),I24&gt;0,ISNUMBER(J24),J24&gt;=0),ROUNDUP(MAX(0,E24-J24)/I24,0),"")</x:f>
        <x:v>1</x:v>
      </x:c>
      <x:c r="M24" s="24" t="n">
        <x:f>IF(AND(ISNUMBER(L24),ISNUMBER(H24),H24&gt;=0),L24*I24*H24,"")</x:f>
        <x:v>25.153277786511556</x:v>
      </x:c>
      <x:c r="N24" s="10" t="str">
        <x:v>Allowance</x:v>
      </x:c>
      <x:c r="O24" s="10" t="str"/>
      <x:c r="P24" s="10" t="str">
        <x:v>Budget is not a confirmed compatible-part quotation. Borrow first; confirm model before purchase.</x:v>
      </x:c>
      <x:c r="Q24" s="10" t="str">
        <x:v>TOOLS
Original unit input: NTD 800. Converted at 31.805 NTD/USD.
Engineering allowances only: hand tools/calipers NTD 1500; DMM 800; scope 10000; pipette/tips 4000; print/post-cure supplies 300. Borrow existing printer, wash/cure equipment, PC, phone, biosafety/cell facilities. Their capital replacement prices are outside this BOM.
</x:v>
      </x:c>
      <x:c r="R24" s="10" t="str">
        <x:f>IF(AND(ISNUMBER(K24),ISNUMBER(M24)),"OK","Missing")</x:f>
        <x:v>OK</x:v>
      </x:c>
      <x:c r="S24"/>
      <x:c r="T24"/>
      <x:c r="U24"/>
      <x:c r="V24"/>
      <x:c r="W24"/>
    </x:row>
    <x:row r="25" ht="153" customHeight="1">
      <x:c r="A25" s="10" t="str">
        <x:v>L06</x:v>
      </x:c>
      <x:c r="B25" s="10" t="str">
        <x:v>Oscilloscope</x:v>
      </x:c>
      <x:c r="C25" s="10" t="str">
        <x:v>At least two channels with probes compatible with 3.3 V logic; borrow lab equipment.</x:v>
      </x:c>
      <x:c r="D25" s="10" t="str">
        <x:v>Check LED PWM, CONVST and timing.
External shared equipment</x:v>
      </x:c>
      <x:c r="E25" s="10" t="n">
        <x:v>1</x:v>
      </x:c>
      <x:c r="F25" s="10" t="str">
        <x:v>set</x:v>
      </x:c>
      <x:c r="G25" s="10" t="str">
        <x:v>Developer</x:v>
      </x:c>
      <x:c r="H25" s="19" t="n">
        <x:v>314.4159723313944</x:v>
      </x:c>
      <x:c r="I25" s="18" t="n">
        <x:v>1</x:v>
      </x:c>
      <x:c r="J25" s="18" t="n">
        <x:v>0</x:v>
      </x:c>
      <x:c r="K25" s="24" t="n">
        <x:f>IF(AND(ISNUMBER(E25),E25&gt;=0,ISNUMBER(H25),H25&gt;=0),E25*H25,"")</x:f>
        <x:v>314.4159723313944</x:v>
      </x:c>
      <x:c r="L25" s="10" t="n">
        <x:f>IF(AND(ISNUMBER(E25),E25&gt;=0,ISNUMBER(I25),I25&gt;0,ISNUMBER(J25),J25&gt;=0),ROUNDUP(MAX(0,E25-J25)/I25,0),"")</x:f>
        <x:v>1</x:v>
      </x:c>
      <x:c r="M25" s="24" t="n">
        <x:f>IF(AND(ISNUMBER(L25),ISNUMBER(H25),H25&gt;=0),L25*I25*H25,"")</x:f>
        <x:v>314.4159723313944</x:v>
      </x:c>
      <x:c r="N25" s="10" t="str">
        <x:v>Allowance</x:v>
      </x:c>
      <x:c r="O25" s="10" t="str"/>
      <x:c r="P25" s="10" t="str">
        <x:v>Budget is not a confirmed compatible-part quotation. Borrow first; confirm model before purchase.</x:v>
      </x:c>
      <x:c r="Q25" s="10" t="str">
        <x:v>TOOLS
Original unit input: NTD 10000. Converted at 31.805 NTD/USD.
Engineering allowances only: hand tools/calipers NTD 1500; DMM 800; scope 10000; pipette/tips 4000; print/post-cure supplies 300. Borrow existing printer, wash/cure equipment, PC, phone, biosafety/cell facilities. Their capital replacement prices are outside this BOM.
</x:v>
      </x:c>
      <x:c r="R25" s="10" t="str">
        <x:f>IF(AND(ISNUMBER(K25),ISNUMBER(M25)),"OK","Missing")</x:f>
        <x:v>OK</x:v>
      </x:c>
      <x:c r="S25"/>
      <x:c r="T25"/>
      <x:c r="U25"/>
      <x:c r="V25"/>
      <x:c r="W25"/>
    </x:row>
    <x:row r="26" ht="153" customHeight="1">
      <x:c r="A26" s="10" t="str">
        <x:v>L07</x:v>
      </x:c>
      <x:c r="B26" s="10" t="str">
        <x:v>Micropipette and tips</x:v>
      </x:c>
      <x:c r="C26" s="10" t="str">
        <x:v>Calibrated range covering 80 uL, with one box of compatible tips.</x:v>
      </x:c>
      <x:c r="D26" s="10" t="str">
        <x:v>Control well fill volume.
External shared equipment</x:v>
      </x:c>
      <x:c r="E26" s="10" t="n">
        <x:v>1</x:v>
      </x:c>
      <x:c r="F26" s="10" t="str">
        <x:v>set</x:v>
      </x:c>
      <x:c r="G26" s="10" t="str">
        <x:v>Developer</x:v>
      </x:c>
      <x:c r="H26" s="19" t="n">
        <x:v>125.76638893255777</x:v>
      </x:c>
      <x:c r="I26" s="18" t="n">
        <x:v>1</x:v>
      </x:c>
      <x:c r="J26" s="18" t="n">
        <x:v>0</x:v>
      </x:c>
      <x:c r="K26" s="24" t="n">
        <x:f>IF(AND(ISNUMBER(E26),E26&gt;=0,ISNUMBER(H26),H26&gt;=0),E26*H26,"")</x:f>
        <x:v>125.76638893255777</x:v>
      </x:c>
      <x:c r="L26" s="10" t="n">
        <x:f>IF(AND(ISNUMBER(E26),E26&gt;=0,ISNUMBER(I26),I26&gt;0,ISNUMBER(J26),J26&gt;=0),ROUNDUP(MAX(0,E26-J26)/I26,0),"")</x:f>
        <x:v>1</x:v>
      </x:c>
      <x:c r="M26" s="24" t="n">
        <x:f>IF(AND(ISNUMBER(L26),ISNUMBER(H26),H26&gt;=0),L26*I26*H26,"")</x:f>
        <x:v>125.76638893255777</x:v>
      </x:c>
      <x:c r="N26" s="10" t="str">
        <x:v>Allowance</x:v>
      </x:c>
      <x:c r="O26" s="10" t="str"/>
      <x:c r="P26" s="10" t="str">
        <x:v>Budget is not a confirmed compatible-part quotation. Borrow first; confirm model before purchase.</x:v>
      </x:c>
      <x:c r="Q26" s="10" t="str">
        <x:v>TOOLS
Original unit input: NTD 4000. Converted at 31.805 NTD/USD.
Engineering allowances only: hand tools/calipers NTD 1500; DMM 800; scope 10000; pipette/tips 4000; print/post-cure supplies 300. Borrow existing printer, wash/cure equipment, PC, phone, biosafety/cell facilities. Their capital replacement prices are outside this BOM.
</x:v>
      </x:c>
      <x:c r="R26" s="10" t="str">
        <x:f>IF(AND(ISNUMBER(K26),ISNUMBER(M26)),"OK","Missing")</x:f>
        <x:v>OK</x:v>
      </x:c>
      <x:c r="S26"/>
      <x:c r="T26"/>
      <x:c r="U26"/>
      <x:c r="V26"/>
      <x:c r="W26"/>
    </x:row>
    <x:row r="27" ht="138" customHeight="1">
      <x:c r="A27" s="10" t="str">
        <x:v>L08</x:v>
      </x:c>
      <x:c r="B27" s="10" t="str">
        <x:v>Cleaning and post-cure consumables</x:v>
      </x:c>
      <x:c r="C27" s="10" t="str">
        <x:v>Small supplies of resin-approved cleaner, gloves and lint-free wipes; existing printer and cure equipment reused.</x:v>
      </x:c>
      <x:c r="D27" s="10" t="str">
        <x:v>Print finishing; cell-culture consumables excluded.
External shared equipment</x:v>
      </x:c>
      <x:c r="E27" s="10" t="n">
        <x:v>1</x:v>
      </x:c>
      <x:c r="F27" s="10" t="str">
        <x:v>set</x:v>
      </x:c>
      <x:c r="G27" s="10" t="str">
        <x:v>Developer</x:v>
      </x:c>
      <x:c r="H27" s="19" t="n">
        <x:v>9.432479169941834</x:v>
      </x:c>
      <x:c r="I27" s="18" t="n">
        <x:v>1</x:v>
      </x:c>
      <x:c r="J27" s="18" t="n">
        <x:v>0</x:v>
      </x:c>
      <x:c r="K27" s="24" t="n">
        <x:f>IF(AND(ISNUMBER(E27),E27&gt;=0,ISNUMBER(H27),H27&gt;=0),E27*H27,"")</x:f>
        <x:v>9.432479169941834</x:v>
      </x:c>
      <x:c r="L27" s="10" t="n">
        <x:f>IF(AND(ISNUMBER(E27),E27&gt;=0,ISNUMBER(I27),I27&gt;0,ISNUMBER(J27),J27&gt;=0),ROUNDUP(MAX(0,E27-J27)/I27,0),"")</x:f>
        <x:v>1</x:v>
      </x:c>
      <x:c r="M27" s="24" t="n">
        <x:f>IF(AND(ISNUMBER(L27),ISNUMBER(H27),H27&gt;=0),L27*I27*H27,"")</x:f>
        <x:v>9.432479169941834</x:v>
      </x:c>
      <x:c r="N27" s="10" t="str">
        <x:v>Allowance</x:v>
      </x:c>
      <x:c r="O27" s="10" t="str"/>
      <x:c r="P27" s="10" t="str">
        <x:v>Budget is not a confirmed compatible-part quotation. Borrow first; confirm model before purchase.</x:v>
      </x:c>
      <x:c r="Q27" s="10" t="str">
        <x:v>TOOLS
Original unit input: NTD 300. Converted at 31.805 NTD/USD.
Engineering allowances only: hand tools/calipers NTD 1500; DMM 800; scope 10000; pipette/tips 4000; print/post-cure supplies 300. Borrow existing printer, wash/cure equipment, PC, phone, biosafety/cell facilities. Their capital replacement prices are outside this BOM.
</x:v>
      </x:c>
      <x:c r="R27" s="10" t="str">
        <x:f>IF(AND(ISNUMBER(K27),ISNUMBER(M27)),"OK","Missing")</x:f>
        <x:v>OK</x:v>
      </x:c>
      <x:c r="S27"/>
      <x:c r="T27"/>
      <x:c r="U27"/>
      <x:c r="V27"/>
      <x:c r="W27"/>
    </x:row>
    <x:row r="28" ht="138" customHeight="1">
      <x:c r="A28" s="10" t="str">
        <x:v>FUT01</x:v>
      </x:c>
      <x:c r="B28" s="10" t="str">
        <x:v>PDMS membrane research materials</x:v>
      </x:c>
      <x:c r="C28" s="10" t="str">
        <x:v>SYLGARD 184 0.5 kg kit and basic casting supplies; thickness and ratio require experiments.</x:v>
      </x:c>
      <x:c r="D28" s="10" t="str">
        <x:v>Future VOC transport and selectivity research; not current assembly.
Not integrated</x:v>
      </x:c>
      <x:c r="E28" s="10" t="n">
        <x:v>1</x:v>
      </x:c>
      <x:c r="F28" s="10" t="str">
        <x:v>set</x:v>
      </x:c>
      <x:c r="G28" s="10" t="str">
        <x:v>Future</x:v>
      </x:c>
      <x:c r="H28" s="19" t="n">
        <x:v>188.64958339883665</x:v>
      </x:c>
      <x:c r="I28" s="18" t="n">
        <x:v>1</x:v>
      </x:c>
      <x:c r="J28" s="18" t="n">
        <x:v>0</x:v>
      </x:c>
      <x:c r="K28" s="24" t="n">
        <x:f>IF(AND(ISNUMBER(E28),E28&gt;=0,ISNUMBER(H28),H28&gt;=0),E28*H28,"")</x:f>
        <x:v>188.64958339883665</x:v>
      </x:c>
      <x:c r="L28" s="10" t="n">
        <x:f>IF(AND(ISNUMBER(E28),E28&gt;=0,ISNUMBER(I28),I28&gt;0,ISNUMBER(J28),J28&gt;=0),ROUNDUP(MAX(0,E28-J28)/I28,0),"")</x:f>
        <x:v>1</x:v>
      </x:c>
      <x:c r="M28" s="24" t="n">
        <x:f>IF(AND(ISNUMBER(L28),ISNUMBER(H28),H28&gt;=0),L28*I28*H28,"")</x:f>
        <x:v>188.64958339883665</x:v>
      </x:c>
      <x:c r="N28" s="10" t="str">
        <x:v>Allowance</x:v>
      </x:c>
      <x:c r="O28" s="10" t="str"/>
      <x:c r="P28" s="10" t="str">
        <x:v>Budget is not a confirmed compatible-part quotation. Borrow first; confirm model before purchase.</x:v>
      </x:c>
      <x:c r="Q28" s="10" t="str">
        <x:v>PDMS
Original unit input: NTD 6000. Converted at 31.805 NTD/USD.
Kit identity found; current public price not verified. NTD 6000 planning allowance for kit and basic casting consumables. No claim that PDMS removes water selectively.
https://labproinc.com/products/dow-sylgard-184-silicone-encapsulant-clear-0-5-kg-kit-184-sil-elast-kit-0-5kg</x:v>
      </x:c>
      <x:c r="R28" s="10" t="str">
        <x:f>IF(AND(ISNUMBER(K28),ISNUMBER(M28)),"OK","Missing")</x:f>
        <x:v>OK</x:v>
      </x:c>
      <x:c r="S28"/>
      <x:c r="T28"/>
      <x:c r="U28"/>
      <x:c r="V28"/>
      <x:c r="W28"/>
    </x:row>
    <x:row r="29" ht="123" customHeight="1">
      <x:c r="A29" s="10" t="str">
        <x:v>FUT02</x:v>
      </x:c>
      <x:c r="B29" s="10" t="str">
        <x:v>Gas valve and driver materials</x:v>
      </x:c>
      <x:c r="C29" s="10" t="str">
        <x:v>6 V FA0520E price reference; allowance includes driver, flyback diode, supply and adapters.</x:v>
      </x:c>
      <x:c r="D29" s="10" t="str">
        <x:v>Future gas switching; current UI and PCB do not support it.
Not integrated</x:v>
      </x:c>
      <x:c r="E29" s="10" t="n">
        <x:v>1</x:v>
      </x:c>
      <x:c r="F29" s="10" t="str">
        <x:v>set</x:v>
      </x:c>
      <x:c r="G29" s="10" t="str">
        <x:v>Future</x:v>
      </x:c>
      <x:c r="H29" s="19" t="n">
        <x:v>15.720798616569722</x:v>
      </x:c>
      <x:c r="I29" s="18" t="n">
        <x:v>1</x:v>
      </x:c>
      <x:c r="J29" s="18" t="n">
        <x:v>0</x:v>
      </x:c>
      <x:c r="K29" s="24" t="n">
        <x:f>IF(AND(ISNUMBER(E29),E29&gt;=0,ISNUMBER(H29),H29&gt;=0),E29*H29,"")</x:f>
        <x:v>15.720798616569722</x:v>
      </x:c>
      <x:c r="L29" s="10" t="n">
        <x:f>IF(AND(ISNUMBER(E29),E29&gt;=0,ISNUMBER(I29),I29&gt;0,ISNUMBER(J29),J29&gt;=0),ROUNDUP(MAX(0,E29-J29)/I29,0),"")</x:f>
        <x:v>1</x:v>
      </x:c>
      <x:c r="M29" s="24" t="n">
        <x:f>IF(AND(ISNUMBER(L29),ISNUMBER(H29),H29&gt;=0),L29*I29*H29,"")</x:f>
        <x:v>15.720798616569722</x:v>
      </x:c>
      <x:c r="N29" s="10" t="str">
        <x:v>Allowance</x:v>
      </x:c>
      <x:c r="O29" s="10" t="str"/>
      <x:c r="P29" s="10" t="str">
        <x:v>Budget is not a confirmed compatible-part quotation. Borrow first; confirm model before purchase.</x:v>
      </x:c>
      <x:c r="Q29" s="10" t="str">
        <x:v>VALVE
Original unit input: NTD 500. Converted at 31.805 NTD/USD.
USD 2.95 for 6 V valve alone. NTD 500 system allowance includes driver, flyback diode, supply and fittings. Future only; VOC wetted-material suitability and firmware support unverified.
https://www.adafruit.com/product/4663</x:v>
      </x:c>
      <x:c r="R29" s="10" t="str">
        <x:f>IF(AND(ISNUMBER(K29),ISNUMBER(M29)),"OK","Missing")</x:f>
        <x:v>OK</x:v>
      </x:c>
      <x:c r="S29"/>
      <x:c r="T29"/>
      <x:c r="U29"/>
      <x:c r="V29"/>
      <x:c r="W29"/>
    </x:row>
    <x:row r="30" ht="153" customHeight="1">
      <x:c r="A30" s="10" t="str">
        <x:v>FUT03</x:v>
      </x:c>
      <x:c r="B30" s="10" t="str">
        <x:v>Environment sensing development materials</x:v>
      </x:c>
      <x:c r="C30" s="10" t="str">
        <x:v>Temperature/humidity module and wiring allowance; excludes heater, CO2 control and incubator.</x:v>
      </x:c>
      <x:c r="D30" s="10" t="str">
        <x:v>Future environmental monitoring; not cell-environment control.
Not integrated</x:v>
      </x:c>
      <x:c r="E30" s="10" t="n">
        <x:v>1</x:v>
      </x:c>
      <x:c r="F30" s="10" t="str">
        <x:v>set</x:v>
      </x:c>
      <x:c r="G30" s="10" t="str">
        <x:v>Future</x:v>
      </x:c>
      <x:c r="H30" s="19" t="n">
        <x:v>31.441597233139444</x:v>
      </x:c>
      <x:c r="I30" s="18" t="n">
        <x:v>1</x:v>
      </x:c>
      <x:c r="J30" s="18" t="n">
        <x:v>0</x:v>
      </x:c>
      <x:c r="K30" s="24" t="n">
        <x:f>IF(AND(ISNUMBER(E30),E30&gt;=0,ISNUMBER(H30),H30&gt;=0),E30*H30,"")</x:f>
        <x:v>31.441597233139444</x:v>
      </x:c>
      <x:c r="L30" s="10" t="n">
        <x:f>IF(AND(ISNUMBER(E30),E30&gt;=0,ISNUMBER(I30),I30&gt;0,ISNUMBER(J30),J30&gt;=0),ROUNDUP(MAX(0,E30-J30)/I30,0),"")</x:f>
        <x:v>1</x:v>
      </x:c>
      <x:c r="M30" s="24" t="n">
        <x:f>IF(AND(ISNUMBER(L30),ISNUMBER(H30),H30&gt;=0),L30*I30*H30,"")</x:f>
        <x:v>31.441597233139444</x:v>
      </x:c>
      <x:c r="N30" s="10" t="str">
        <x:v>Allowance</x:v>
      </x:c>
      <x:c r="O30" s="10" t="str"/>
      <x:c r="P30" s="10" t="str">
        <x:v>Budget is not a confirmed compatible-part quotation. Borrow first; confirm model before purchase.</x:v>
      </x:c>
      <x:c r="Q30" s="10" t="str">
        <x:v>TOOLS
Original unit input: NTD 1000. Converted at 31.805 NTD/USD.
Engineering allowances only: hand tools/calipers NTD 1500; DMM 800; scope 10000; pipette/tips 4000; print/post-cure supplies 300. Borrow existing printer, wash/cure equipment, PC, phone, biosafety/cell facilities. Their capital replacement prices are outside this BOM.
</x:v>
      </x:c>
      <x:c r="R30" s="10" t="str">
        <x:f>IF(AND(ISNUMBER(K30),ISNUMBER(M30)),"OK","Missing")</x:f>
        <x:v>OK</x:v>
      </x:c>
      <x:c r="S30"/>
      <x:c r="T30"/>
      <x:c r="U30"/>
      <x:c r="V30"/>
      <x:c r="W30"/>
    </x:row>
    <x:row r="31" ht="54" customHeight="1">
      <x:c r="A31" s="10"/>
      <x:c r="B31" s="10"/>
      <x:c r="C31" s="10"/>
      <x:c r="D31" s="10"/>
      <x:c r="E31" s="10"/>
      <x:c r="F31" s="10"/>
      <x:c r="G31" s="10"/>
      <x:c r="H31" s="10"/>
      <x:c r="I31" s="10"/>
      <x:c r="J31" s="10"/>
      <x:c r="K31" s="10"/>
      <x:c r="L31" s="10"/>
      <x:c r="M31" s="10"/>
      <x:c r="N31" s="10"/>
      <x:c r="O31" s="10"/>
      <x:c r="P31" s="10"/>
      <x:c r="Q31" s="10"/>
      <x:c r="R31" s="10"/>
      <x:c r="S31"/>
      <x:c r="T31"/>
      <x:c r="U31"/>
      <x:c r="V31"/>
      <x:c r="W31"/>
    </x:row>
    <x:row r="32" ht="54" customHeight="1">
      <x:c r="A32" s="10"/>
      <x:c r="B32" s="10"/>
      <x:c r="C32" s="10"/>
      <x:c r="D32" s="10"/>
      <x:c r="E32" s="10"/>
      <x:c r="F32" s="10"/>
      <x:c r="G32" s="10"/>
      <x:c r="H32" s="10"/>
      <x:c r="I32" s="10"/>
      <x:c r="J32" s="10"/>
      <x:c r="K32" s="10"/>
      <x:c r="L32" s="10"/>
      <x:c r="M32" s="10"/>
      <x:c r="N32" s="10"/>
      <x:c r="O32" s="10"/>
      <x:c r="P32" s="10"/>
      <x:c r="Q32" s="10"/>
      <x:c r="R32" s="10"/>
      <x:c r="S32"/>
      <x:c r="T32"/>
      <x:c r="U32"/>
      <x:c r="V32"/>
      <x:c r="W32"/>
    </x:row>
    <x:row r="33" ht="54" customHeight="1">
      <x:c r="A33" s="10"/>
      <x:c r="B33" s="10"/>
      <x:c r="C33" s="10"/>
      <x:c r="D33" s="10"/>
      <x:c r="E33" s="10"/>
      <x:c r="F33" s="10"/>
      <x:c r="G33" s="10"/>
      <x:c r="H33" s="10"/>
      <x:c r="I33" s="10"/>
      <x:c r="J33" s="10"/>
      <x:c r="K33" s="10"/>
      <x:c r="L33" s="10"/>
      <x:c r="M33" s="10"/>
      <x:c r="N33" s="10"/>
      <x:c r="O33" s="10"/>
      <x:c r="P33" s="10"/>
      <x:c r="Q33" s="10"/>
      <x:c r="R33" s="10"/>
      <x:c r="S33"/>
      <x:c r="T33"/>
      <x:c r="U33"/>
      <x:c r="V33"/>
      <x:c r="W33"/>
    </x:row>
    <x:row r="34" ht="54" customHeight="1">
      <x:c r="A34" s="10"/>
      <x:c r="B34" s="10"/>
      <x:c r="C34" s="10"/>
      <x:c r="D34" s="10"/>
      <x:c r="E34" s="10"/>
      <x:c r="F34" s="10"/>
      <x:c r="G34" s="10"/>
      <x:c r="H34" s="10"/>
      <x:c r="I34" s="10"/>
      <x:c r="J34" s="10"/>
      <x:c r="K34" s="10"/>
      <x:c r="L34" s="10"/>
      <x:c r="M34" s="10"/>
      <x:c r="N34" s="10"/>
      <x:c r="O34" s="10"/>
      <x:c r="P34" s="10"/>
      <x:c r="Q34" s="10"/>
      <x:c r="R34" s="10"/>
      <x:c r="S34"/>
      <x:c r="T34"/>
      <x:c r="U34"/>
      <x:c r="V34"/>
      <x:c r="W34"/>
    </x:row>
    <x:row r="35" ht="54" customHeight="1">
      <x:c r="A35" s="10"/>
      <x:c r="B35" s="10"/>
      <x:c r="C35" s="10"/>
      <x:c r="D35" s="10"/>
      <x:c r="E35" s="10"/>
      <x:c r="F35" s="10"/>
      <x:c r="G35" s="10"/>
      <x:c r="H35" s="10"/>
      <x:c r="I35" s="10"/>
      <x:c r="J35" s="10"/>
      <x:c r="K35" s="10"/>
      <x:c r="L35" s="10"/>
      <x:c r="M35" s="10"/>
      <x:c r="N35" s="10"/>
      <x:c r="O35" s="10"/>
      <x:c r="P35" s="10"/>
      <x:c r="Q35" s="10"/>
      <x:c r="R35" s="10"/>
      <x:c r="S35"/>
      <x:c r="T35"/>
      <x:c r="U35"/>
      <x:c r="V35"/>
      <x:c r="W35"/>
    </x:row>
    <x:row r="36" ht="28" customHeight="1">
      <x:c r="A36" s="2"/>
      <x:c r="B36" s="2"/>
      <x:c r="C36" s="2"/>
      <x:c r="D36" s="2"/>
      <x:c r="E36" s="2"/>
      <x:c r="F36" s="2"/>
      <x:c r="G36" s="2"/>
      <x:c r="H36" s="2"/>
      <x:c r="I36" s="2"/>
      <x:c r="J36" s="2"/>
      <x:c r="K36" s="2"/>
      <x:c r="L36" s="2"/>
      <x:c r="M36" s="2"/>
      <x:c r="N36" s="2"/>
      <x:c r="O36" s="2"/>
      <x:c r="P36" s="2"/>
      <x:c r="Q36" s="2"/>
      <x:c r="R36" s="2"/>
      <x:c r="S36" s="2"/>
      <x:c r="T36" s="2"/>
      <x:c r="U36" s="2"/>
      <x:c r="V36" s="2"/>
      <x:c r="W36" s="2"/>
    </x:row>
    <x:row r="37" ht="28" customHeight="1">
      <x:c r="A37" s="2"/>
      <x:c r="B37" s="2"/>
      <x:c r="C37" s="2"/>
      <x:c r="D37" s="2"/>
      <x:c r="E37" s="2"/>
      <x:c r="F37" s="2"/>
      <x:c r="G37" s="2"/>
      <x:c r="H37" s="2"/>
      <x:c r="I37" s="2"/>
      <x:c r="J37" s="2"/>
      <x:c r="K37" s="2"/>
      <x:c r="L37" s="2"/>
      <x:c r="M37" s="2"/>
      <x:c r="N37" s="2"/>
      <x:c r="O37" s="2"/>
      <x:c r="P37" s="2"/>
      <x:c r="Q37" s="2"/>
      <x:c r="R37" s="2"/>
      <x:c r="S37" s="2"/>
      <x:c r="T37" s="2"/>
      <x:c r="U37" s="2"/>
      <x:c r="V37" s="2"/>
      <x:c r="W37" s="2"/>
    </x:row>
    <x:row r="38" ht="28" customHeight="1">
      <x:c r="A38" s="2"/>
      <x:c r="B38" s="2"/>
      <x:c r="C38" s="2"/>
      <x:c r="D38" s="2"/>
      <x:c r="E38" s="2"/>
      <x:c r="F38" s="2"/>
      <x:c r="G38" s="2"/>
      <x:c r="H38" s="2"/>
      <x:c r="I38" s="2"/>
      <x:c r="J38" s="2"/>
      <x:c r="K38" s="2"/>
      <x:c r="L38" s="2"/>
      <x:c r="M38" s="2"/>
      <x:c r="N38" s="2"/>
      <x:c r="O38" s="2"/>
      <x:c r="P38" s="2"/>
      <x:c r="Q38" s="2"/>
      <x:c r="R38" s="2"/>
      <x:c r="S38" s="2"/>
      <x:c r="T38" s="2"/>
      <x:c r="U38" s="2"/>
      <x:c r="V38" s="2"/>
      <x:c r="W38" s="2"/>
    </x:row>
    <x:row r="39" ht="28" customHeight="1">
      <x:c r="A39" s="2"/>
      <x:c r="B39" s="2"/>
      <x:c r="C39" s="2"/>
      <x:c r="D39" s="2"/>
      <x:c r="E39" s="2"/>
      <x:c r="F39" s="2"/>
      <x:c r="G39" s="2"/>
      <x:c r="H39" s="2"/>
      <x:c r="I39" s="2"/>
      <x:c r="J39" s="2"/>
      <x:c r="K39" s="2"/>
      <x:c r="L39" s="2"/>
      <x:c r="M39" s="2"/>
      <x:c r="N39" s="2"/>
      <x:c r="O39" s="2"/>
      <x:c r="P39" s="2"/>
      <x:c r="Q39" s="2"/>
      <x:c r="R39" s="2"/>
      <x:c r="S39" s="2"/>
      <x:c r="T39" s="2"/>
      <x:c r="U39" s="2"/>
      <x:c r="V39" s="2"/>
      <x:c r="W39" s="2"/>
    </x:row>
    <x:row r="40" ht="28" customHeight="1">
      <x:c r="A40" s="2"/>
      <x:c r="B40" s="2"/>
      <x:c r="C40" s="2"/>
      <x:c r="D40" s="2"/>
      <x:c r="E40" s="2"/>
      <x:c r="F40" s="2"/>
      <x:c r="G40" s="2"/>
      <x:c r="H40" s="2"/>
      <x:c r="I40" s="2"/>
      <x:c r="J40" s="2"/>
      <x:c r="K40" s="2"/>
      <x:c r="L40" s="2"/>
      <x:c r="M40" s="2"/>
      <x:c r="N40" s="2"/>
      <x:c r="O40" s="2"/>
      <x:c r="P40" s="2"/>
      <x:c r="Q40" s="2"/>
      <x:c r="R40" s="2"/>
      <x:c r="S40" s="2"/>
      <x:c r="T40" s="2"/>
      <x:c r="U40" s="2"/>
      <x:c r="V40" s="2"/>
      <x:c r="W40" s="2"/>
    </x:row>
    <x:row r="41" ht="28" customHeight="1">
      <x:c r="A41" s="2"/>
      <x:c r="B41" s="2"/>
      <x:c r="C41" s="2"/>
      <x:c r="D41" s="2"/>
      <x:c r="E41" s="2"/>
      <x:c r="F41" s="2"/>
      <x:c r="G41" s="2"/>
      <x:c r="H41" s="2"/>
      <x:c r="I41" s="2"/>
      <x:c r="J41" s="2"/>
      <x:c r="K41" s="2"/>
      <x:c r="L41" s="2"/>
      <x:c r="M41" s="2"/>
      <x:c r="N41" s="2"/>
      <x:c r="O41" s="2"/>
      <x:c r="P41" s="2"/>
      <x:c r="Q41" s="2"/>
      <x:c r="R41" s="2"/>
      <x:c r="S41" s="2"/>
      <x:c r="T41" s="2"/>
      <x:c r="U41" s="2"/>
      <x:c r="V41" s="2"/>
      <x:c r="W41" s="2"/>
    </x:row>
    <x:row r="42" ht="28" customHeight="1">
      <x:c r="A42" s="2"/>
      <x:c r="B42" s="2"/>
      <x:c r="C42" s="2"/>
      <x:c r="D42" s="2"/>
      <x:c r="E42" s="2"/>
      <x:c r="F42" s="2"/>
      <x:c r="G42" s="2"/>
      <x:c r="H42" s="2"/>
      <x:c r="I42" s="2"/>
      <x:c r="J42" s="2"/>
      <x:c r="K42" s="2"/>
      <x:c r="L42" s="2"/>
      <x:c r="M42" s="2"/>
      <x:c r="N42" s="2"/>
      <x:c r="O42" s="2"/>
      <x:c r="P42" s="2"/>
      <x:c r="Q42" s="2"/>
      <x:c r="R42" s="2"/>
      <x:c r="S42" s="2"/>
      <x:c r="T42" s="2"/>
      <x:c r="U42" s="2"/>
      <x:c r="V42" s="2"/>
      <x:c r="W42" s="2"/>
    </x:row>
    <x:row r="43" ht="28" customHeight="1">
      <x:c r="A43" s="2"/>
      <x:c r="B43" s="2"/>
      <x:c r="C43" s="2"/>
      <x:c r="D43" s="2"/>
      <x:c r="E43" s="2"/>
      <x:c r="F43" s="2"/>
      <x:c r="G43" s="2"/>
      <x:c r="H43" s="2"/>
      <x:c r="I43" s="2"/>
      <x:c r="J43" s="2"/>
      <x:c r="K43" s="2"/>
      <x:c r="L43" s="2"/>
      <x:c r="M43" s="2"/>
      <x:c r="N43" s="2"/>
      <x:c r="O43" s="2"/>
      <x:c r="P43" s="2"/>
      <x:c r="Q43" s="2"/>
      <x:c r="R43" s="2"/>
      <x:c r="S43" s="2"/>
      <x:c r="T43" s="2"/>
      <x:c r="U43" s="2"/>
      <x:c r="V43" s="2"/>
      <x:c r="W43" s="2"/>
    </x:row>
    <x:row r="44" ht="28" customHeight="1">
      <x:c r="A44" s="2"/>
      <x:c r="B44" s="2"/>
      <x:c r="C44" s="2"/>
      <x:c r="D44" s="2"/>
      <x:c r="E44" s="2"/>
      <x:c r="F44" s="2"/>
      <x:c r="G44" s="2"/>
      <x:c r="H44" s="2"/>
      <x:c r="I44" s="2"/>
      <x:c r="J44" s="2"/>
      <x:c r="K44" s="2"/>
      <x:c r="L44" s="2"/>
      <x:c r="M44" s="2"/>
      <x:c r="N44" s="2"/>
      <x:c r="O44" s="2"/>
      <x:c r="P44" s="2"/>
      <x:c r="Q44" s="2"/>
      <x:c r="R44" s="2"/>
      <x:c r="S44" s="2"/>
      <x:c r="T44" s="2"/>
      <x:c r="U44" s="2"/>
      <x:c r="V44" s="2"/>
      <x:c r="W44" s="2"/>
    </x:row>
    <x:row r="45" ht="28" customHeight="1">
      <x:c r="A45" s="2"/>
      <x:c r="B45" s="2"/>
      <x:c r="C45" s="2"/>
      <x:c r="D45" s="2"/>
      <x:c r="E45" s="2"/>
      <x:c r="F45" s="2"/>
      <x:c r="G45" s="2"/>
      <x:c r="H45" s="2"/>
      <x:c r="I45" s="2"/>
      <x:c r="J45" s="2"/>
      <x:c r="K45" s="2"/>
      <x:c r="L45" s="2"/>
      <x:c r="M45" s="2"/>
      <x:c r="N45" s="2"/>
      <x:c r="O45" s="2"/>
      <x:c r="P45" s="2"/>
      <x:c r="Q45" s="2"/>
      <x:c r="R45" s="2"/>
      <x:c r="S45" s="2"/>
      <x:c r="T45" s="2"/>
      <x:c r="U45" s="2"/>
      <x:c r="V45" s="2"/>
      <x:c r="W45" s="2"/>
    </x:row>
    <x:row r="46" ht="28" customHeight="1">
      <x:c r="A46" s="2"/>
      <x:c r="B46" s="2"/>
      <x:c r="C46" s="2"/>
      <x:c r="D46" s="2"/>
      <x:c r="E46" s="2"/>
      <x:c r="F46" s="2"/>
      <x:c r="G46" s="2"/>
      <x:c r="H46" s="2"/>
      <x:c r="I46" s="2"/>
      <x:c r="J46" s="2"/>
      <x:c r="K46" s="2"/>
      <x:c r="L46" s="2"/>
      <x:c r="M46" s="2"/>
      <x:c r="N46" s="2"/>
      <x:c r="O46" s="2"/>
      <x:c r="P46" s="2"/>
      <x:c r="Q46" s="2"/>
      <x:c r="R46" s="2"/>
      <x:c r="S46" s="2"/>
      <x:c r="T46" s="2"/>
      <x:c r="U46" s="2"/>
      <x:c r="V46" s="2"/>
      <x:c r="W46" s="2"/>
    </x:row>
    <x:row r="47" ht="28" customHeight="1">
      <x:c r="A47" s="2"/>
      <x:c r="B47" s="2"/>
      <x:c r="C47" s="2"/>
      <x:c r="D47" s="2"/>
      <x:c r="E47" s="2"/>
      <x:c r="F47" s="2"/>
      <x:c r="G47" s="2"/>
      <x:c r="H47" s="2"/>
      <x:c r="I47" s="2"/>
      <x:c r="J47" s="2"/>
      <x:c r="K47" s="2"/>
      <x:c r="L47" s="2"/>
      <x:c r="M47" s="2"/>
      <x:c r="N47" s="2"/>
      <x:c r="O47" s="2"/>
      <x:c r="P47" s="2"/>
      <x:c r="Q47" s="2"/>
      <x:c r="R47" s="2"/>
      <x:c r="S47" s="2"/>
      <x:c r="T47" s="2"/>
      <x:c r="U47" s="2"/>
      <x:c r="V47" s="2"/>
      <x:c r="W47" s="2"/>
    </x:row>
    <x:row r="48" ht="28" customHeight="1">
      <x:c r="A48" s="2"/>
      <x:c r="B48" s="2"/>
      <x:c r="C48" s="2"/>
      <x:c r="D48" s="2"/>
      <x:c r="E48" s="2"/>
      <x:c r="F48" s="2"/>
      <x:c r="G48" s="2"/>
      <x:c r="H48" s="2"/>
      <x:c r="I48" s="2"/>
      <x:c r="J48" s="2"/>
      <x:c r="K48" s="2"/>
      <x:c r="L48" s="2"/>
      <x:c r="M48" s="2"/>
      <x:c r="N48" s="2"/>
      <x:c r="O48" s="2"/>
      <x:c r="P48" s="2"/>
      <x:c r="Q48" s="2"/>
      <x:c r="R48" s="2"/>
      <x:c r="S48" s="2"/>
      <x:c r="T48" s="2"/>
      <x:c r="U48" s="2"/>
      <x:c r="V48" s="2"/>
      <x:c r="W48" s="2"/>
    </x:row>
    <x:row r="49" ht="28" customHeight="1">
      <x:c r="A49" s="2"/>
      <x:c r="B49" s="2"/>
      <x:c r="C49" s="2"/>
      <x:c r="D49" s="2"/>
      <x:c r="E49" s="2"/>
      <x:c r="F49" s="2"/>
      <x:c r="G49" s="2"/>
      <x:c r="H49" s="2"/>
      <x:c r="I49" s="2"/>
      <x:c r="J49" s="2"/>
      <x:c r="K49" s="2"/>
      <x:c r="L49" s="2"/>
      <x:c r="M49" s="2"/>
      <x:c r="N49" s="2"/>
      <x:c r="O49" s="2"/>
      <x:c r="P49" s="2"/>
      <x:c r="Q49" s="2"/>
      <x:c r="R49" s="2"/>
      <x:c r="S49" s="2"/>
      <x:c r="T49" s="2"/>
      <x:c r="U49" s="2"/>
      <x:c r="V49" s="2"/>
      <x:c r="W49" s="2"/>
    </x:row>
    <x:row r="50" ht="28" customHeight="1">
      <x:c r="A50" s="2"/>
      <x:c r="B50" s="2"/>
      <x:c r="C50" s="2"/>
      <x:c r="D50" s="2"/>
      <x:c r="E50" s="2"/>
      <x:c r="F50" s="2"/>
      <x:c r="G50" s="2"/>
      <x:c r="H50" s="2"/>
      <x:c r="I50" s="2"/>
      <x:c r="J50" s="2"/>
      <x:c r="K50" s="2"/>
      <x:c r="L50" s="2"/>
      <x:c r="M50" s="2"/>
      <x:c r="N50" s="2"/>
      <x:c r="O50" s="2"/>
      <x:c r="P50" s="2"/>
      <x:c r="Q50" s="2"/>
      <x:c r="R50" s="2"/>
      <x:c r="S50" s="2"/>
      <x:c r="T50" s="2"/>
      <x:c r="U50" s="2"/>
      <x:c r="V50" s="2"/>
      <x:c r="W50" s="2"/>
    </x:row>
    <x:row r="51" ht="28" customHeight="1">
      <x:c r="A51" s="2"/>
      <x:c r="B51" s="2"/>
      <x:c r="C51" s="2"/>
      <x:c r="D51" s="2"/>
      <x:c r="E51" s="2"/>
      <x:c r="F51" s="2"/>
      <x:c r="G51" s="2"/>
      <x:c r="H51" s="2"/>
      <x:c r="I51" s="2"/>
      <x:c r="J51" s="2"/>
      <x:c r="K51" s="2"/>
      <x:c r="L51" s="2"/>
      <x:c r="M51" s="2"/>
      <x:c r="N51" s="2"/>
      <x:c r="O51" s="2"/>
      <x:c r="P51" s="2"/>
      <x:c r="Q51" s="2"/>
      <x:c r="R51" s="2"/>
      <x:c r="S51" s="2"/>
      <x:c r="T51" s="2"/>
      <x:c r="U51" s="2"/>
      <x:c r="V51" s="2"/>
      <x:c r="W51" s="2"/>
    </x:row>
    <x:row r="52" ht="28" customHeight="1">
      <x:c r="A52" s="2"/>
      <x:c r="B52" s="2"/>
      <x:c r="C52" s="2"/>
      <x:c r="D52" s="2"/>
      <x:c r="E52" s="2"/>
      <x:c r="F52" s="2"/>
      <x:c r="G52" s="2"/>
      <x:c r="H52" s="2"/>
      <x:c r="I52" s="2"/>
      <x:c r="J52" s="2"/>
      <x:c r="K52" s="2"/>
      <x:c r="L52" s="2"/>
      <x:c r="M52" s="2"/>
      <x:c r="N52" s="2"/>
      <x:c r="O52" s="2"/>
      <x:c r="P52" s="2"/>
      <x:c r="Q52" s="2"/>
      <x:c r="R52" s="2"/>
      <x:c r="S52" s="2"/>
      <x:c r="T52" s="2"/>
      <x:c r="U52" s="2"/>
      <x:c r="V52" s="2"/>
      <x:c r="W52" s="2"/>
    </x:row>
    <x:row r="53" ht="28" customHeight="1">
      <x:c r="A53" s="2"/>
      <x:c r="B53" s="2"/>
      <x:c r="C53" s="2"/>
      <x:c r="D53" s="2"/>
      <x:c r="E53" s="2"/>
      <x:c r="F53" s="2"/>
      <x:c r="G53" s="2"/>
      <x:c r="H53" s="2"/>
      <x:c r="I53" s="2"/>
      <x:c r="J53" s="2"/>
      <x:c r="K53" s="2"/>
      <x:c r="L53" s="2"/>
      <x:c r="M53" s="2"/>
      <x:c r="N53" s="2"/>
      <x:c r="O53" s="2"/>
      <x:c r="P53" s="2"/>
      <x:c r="Q53" s="2"/>
      <x:c r="R53" s="2"/>
      <x:c r="S53" s="2"/>
      <x:c r="T53" s="2"/>
      <x:c r="U53" s="2"/>
      <x:c r="V53" s="2"/>
      <x:c r="W53" s="2"/>
    </x:row>
    <x:row r="54" ht="28" customHeight="1">
      <x:c r="A54" s="2"/>
      <x:c r="B54" s="2"/>
      <x:c r="C54" s="2"/>
      <x:c r="D54" s="2"/>
      <x:c r="E54" s="2"/>
      <x:c r="F54" s="2"/>
      <x:c r="G54" s="2"/>
      <x:c r="H54" s="2"/>
      <x:c r="I54" s="2"/>
      <x:c r="J54" s="2"/>
      <x:c r="K54" s="2"/>
      <x:c r="L54" s="2"/>
      <x:c r="M54" s="2"/>
      <x:c r="N54" s="2"/>
      <x:c r="O54" s="2"/>
      <x:c r="P54" s="2"/>
      <x:c r="Q54" s="2"/>
      <x:c r="R54" s="2"/>
      <x:c r="S54" s="2"/>
      <x:c r="T54" s="2"/>
      <x:c r="U54" s="2"/>
      <x:c r="V54" s="2"/>
      <x:c r="W54" s="2"/>
    </x:row>
    <x:row r="55" ht="28" customHeight="1">
      <x:c r="A55" s="2"/>
      <x:c r="B55" s="2"/>
      <x:c r="C55" s="2"/>
      <x:c r="D55" s="2"/>
      <x:c r="E55" s="2"/>
      <x:c r="F55" s="2"/>
      <x:c r="G55" s="2"/>
      <x:c r="H55" s="2"/>
      <x:c r="I55" s="2"/>
      <x:c r="J55" s="2"/>
      <x:c r="K55" s="2"/>
      <x:c r="L55" s="2"/>
      <x:c r="M55" s="2"/>
      <x:c r="N55" s="2"/>
      <x:c r="O55" s="2"/>
      <x:c r="P55" s="2"/>
      <x:c r="Q55" s="2"/>
      <x:c r="R55" s="2"/>
      <x:c r="S55" s="2"/>
      <x:c r="T55" s="2"/>
      <x:c r="U55" s="2"/>
      <x:c r="V55" s="2"/>
      <x:c r="W55" s="2"/>
    </x:row>
    <x:row r="56" ht="28" customHeight="1">
      <x:c r="A56" s="2"/>
      <x:c r="B56" s="2"/>
      <x:c r="C56" s="2"/>
      <x:c r="D56" s="2"/>
      <x:c r="E56" s="2"/>
      <x:c r="F56" s="2"/>
      <x:c r="G56" s="2"/>
      <x:c r="H56" s="2"/>
      <x:c r="I56" s="2"/>
      <x:c r="J56" s="2"/>
      <x:c r="K56" s="2"/>
      <x:c r="L56" s="2"/>
      <x:c r="M56" s="2"/>
      <x:c r="N56" s="2"/>
      <x:c r="O56" s="2"/>
      <x:c r="P56" s="2"/>
      <x:c r="Q56" s="2"/>
      <x:c r="R56" s="2"/>
      <x:c r="S56" s="2"/>
      <x:c r="T56" s="2"/>
      <x:c r="U56" s="2"/>
      <x:c r="V56" s="2"/>
      <x:c r="W56" s="2"/>
    </x:row>
    <x:row r="57" ht="28" customHeight="1">
      <x:c r="A57" s="2"/>
      <x:c r="B57" s="2"/>
      <x:c r="C57" s="2"/>
      <x:c r="D57" s="2"/>
      <x:c r="E57" s="2"/>
      <x:c r="F57" s="2"/>
      <x:c r="G57" s="2"/>
      <x:c r="H57" s="2"/>
      <x:c r="I57" s="2"/>
      <x:c r="J57" s="2"/>
      <x:c r="K57" s="2"/>
      <x:c r="L57" s="2"/>
      <x:c r="M57" s="2"/>
      <x:c r="N57" s="2"/>
      <x:c r="O57" s="2"/>
      <x:c r="P57" s="2"/>
      <x:c r="Q57" s="2"/>
      <x:c r="R57" s="2"/>
      <x:c r="S57" s="2"/>
      <x:c r="T57" s="2"/>
      <x:c r="U57" s="2"/>
      <x:c r="V57" s="2"/>
      <x:c r="W57" s="2"/>
    </x:row>
    <x:row r="58" ht="28" customHeight="1">
      <x:c r="A58" s="2"/>
      <x:c r="B58" s="2"/>
      <x:c r="C58" s="2"/>
      <x:c r="D58" s="2"/>
      <x:c r="E58" s="2"/>
      <x:c r="F58" s="2"/>
      <x:c r="G58" s="2"/>
      <x:c r="H58" s="2"/>
      <x:c r="I58" s="2"/>
      <x:c r="J58" s="2"/>
      <x:c r="K58" s="2"/>
      <x:c r="L58" s="2"/>
      <x:c r="M58" s="2"/>
      <x:c r="N58" s="2"/>
      <x:c r="O58" s="2"/>
      <x:c r="P58" s="2"/>
      <x:c r="Q58" s="2"/>
      <x:c r="R58" s="2"/>
      <x:c r="S58" s="2"/>
      <x:c r="T58" s="2"/>
      <x:c r="U58" s="2"/>
      <x:c r="V58" s="2"/>
      <x:c r="W58" s="2"/>
    </x:row>
    <x:row r="59" ht="28" customHeight="1">
      <x:c r="A59" s="2"/>
      <x:c r="B59" s="2"/>
      <x:c r="C59" s="2"/>
      <x:c r="D59" s="2"/>
      <x:c r="E59" s="2"/>
      <x:c r="F59" s="2"/>
      <x:c r="G59" s="2"/>
      <x:c r="H59" s="2"/>
      <x:c r="I59" s="2"/>
      <x:c r="J59" s="2"/>
      <x:c r="K59" s="2"/>
      <x:c r="L59" s="2"/>
      <x:c r="M59" s="2"/>
      <x:c r="N59" s="2"/>
      <x:c r="O59" s="2"/>
      <x:c r="P59" s="2"/>
      <x:c r="Q59" s="2"/>
      <x:c r="R59" s="2"/>
      <x:c r="S59" s="2"/>
      <x:c r="T59" s="2"/>
      <x:c r="U59" s="2"/>
      <x:c r="V59" s="2"/>
      <x:c r="W59" s="2"/>
    </x:row>
    <x:row r="60" ht="28" customHeight="1">
      <x:c r="A60" s="2"/>
      <x:c r="B60" s="2"/>
      <x:c r="C60" s="2"/>
      <x:c r="D60" s="2"/>
      <x:c r="E60" s="2"/>
      <x:c r="F60" s="2"/>
      <x:c r="G60" s="2"/>
      <x:c r="H60" s="2"/>
      <x:c r="I60" s="2"/>
      <x:c r="J60" s="2"/>
      <x:c r="K60" s="2"/>
      <x:c r="L60" s="2"/>
      <x:c r="M60" s="2"/>
      <x:c r="N60" s="2"/>
      <x:c r="O60" s="2"/>
      <x:c r="P60" s="2"/>
      <x:c r="Q60" s="2"/>
      <x:c r="R60" s="2"/>
      <x:c r="S60" s="2"/>
      <x:c r="T60" s="2"/>
      <x:c r="U60" s="2"/>
      <x:c r="V60" s="2"/>
      <x:c r="W60" s="2"/>
    </x:row>
    <x:row r="61" ht="28" customHeight="1">
      <x:c r="A61" s="2"/>
      <x:c r="B61" s="2"/>
      <x:c r="C61" s="2"/>
      <x:c r="D61" s="2"/>
      <x:c r="E61" s="2"/>
      <x:c r="F61" s="2"/>
      <x:c r="G61" s="2"/>
      <x:c r="H61" s="2"/>
      <x:c r="I61" s="2"/>
      <x:c r="J61" s="2"/>
      <x:c r="K61" s="2"/>
      <x:c r="L61" s="2"/>
      <x:c r="M61" s="2"/>
      <x:c r="N61" s="2"/>
      <x:c r="O61" s="2"/>
      <x:c r="P61" s="2"/>
      <x:c r="Q61" s="2"/>
      <x:c r="R61" s="2"/>
      <x:c r="S61" s="2"/>
      <x:c r="T61" s="2"/>
      <x:c r="U61" s="2"/>
      <x:c r="V61" s="2"/>
      <x:c r="W61" s="2"/>
    </x:row>
    <x:row r="62" ht="28" customHeight="1">
      <x:c r="A62" s="2"/>
      <x:c r="B62" s="2"/>
      <x:c r="C62" s="2"/>
      <x:c r="D62" s="2"/>
      <x:c r="E62" s="2"/>
      <x:c r="F62" s="2"/>
      <x:c r="G62" s="2"/>
      <x:c r="H62" s="2"/>
      <x:c r="I62" s="2"/>
      <x:c r="J62" s="2"/>
      <x:c r="K62" s="2"/>
      <x:c r="L62" s="2"/>
      <x:c r="M62" s="2"/>
      <x:c r="N62" s="2"/>
      <x:c r="O62" s="2"/>
      <x:c r="P62" s="2"/>
      <x:c r="Q62" s="2"/>
      <x:c r="R62" s="2"/>
      <x:c r="S62" s="2"/>
      <x:c r="T62" s="2"/>
      <x:c r="U62" s="2"/>
      <x:c r="V62" s="2"/>
      <x:c r="W62" s="2"/>
    </x:row>
    <x:row r="63" ht="28" customHeight="1">
      <x:c r="A63" s="2"/>
      <x:c r="B63" s="2"/>
      <x:c r="C63" s="2"/>
      <x:c r="D63" s="2"/>
      <x:c r="E63" s="2"/>
      <x:c r="F63" s="2"/>
      <x:c r="G63" s="2"/>
      <x:c r="H63" s="2"/>
      <x:c r="I63" s="2"/>
      <x:c r="J63" s="2"/>
      <x:c r="K63" s="2"/>
      <x:c r="L63" s="2"/>
      <x:c r="M63" s="2"/>
      <x:c r="N63" s="2"/>
      <x:c r="O63" s="2"/>
      <x:c r="P63" s="2"/>
      <x:c r="Q63" s="2"/>
      <x:c r="R63" s="2"/>
      <x:c r="S63" s="2"/>
      <x:c r="T63" s="2"/>
      <x:c r="U63" s="2"/>
      <x:c r="V63" s="2"/>
      <x:c r="W63" s="2"/>
    </x:row>
    <x:row r="64" ht="28" customHeight="1">
      <x:c r="A64" s="2"/>
      <x:c r="B64" s="2"/>
      <x:c r="C64" s="2"/>
      <x:c r="D64" s="2"/>
      <x:c r="E64" s="2"/>
      <x:c r="F64" s="2"/>
      <x:c r="G64" s="2"/>
      <x:c r="H64" s="2"/>
      <x:c r="I64" s="2"/>
      <x:c r="J64" s="2"/>
      <x:c r="K64" s="2"/>
      <x:c r="L64" s="2"/>
      <x:c r="M64" s="2"/>
      <x:c r="N64" s="2"/>
      <x:c r="O64" s="2"/>
      <x:c r="P64" s="2"/>
      <x:c r="Q64" s="2"/>
      <x:c r="R64" s="2"/>
      <x:c r="S64" s="2"/>
      <x:c r="T64" s="2"/>
      <x:c r="U64" s="2"/>
      <x:c r="V64" s="2"/>
      <x:c r="W64" s="2"/>
    </x:row>
    <x:row r="65" ht="28" customHeight="1">
      <x:c r="A65" s="2"/>
      <x:c r="B65" s="2"/>
      <x:c r="C65" s="2"/>
      <x:c r="D65" s="2"/>
      <x:c r="E65" s="2"/>
      <x:c r="F65" s="2"/>
      <x:c r="G65" s="2"/>
      <x:c r="H65" s="2"/>
      <x:c r="I65" s="2"/>
      <x:c r="J65" s="2"/>
      <x:c r="K65" s="2"/>
      <x:c r="L65" s="2"/>
      <x:c r="M65" s="2"/>
      <x:c r="N65" s="2"/>
      <x:c r="O65" s="2"/>
      <x:c r="P65" s="2"/>
      <x:c r="Q65" s="2"/>
      <x:c r="R65" s="2"/>
      <x:c r="S65" s="2"/>
      <x:c r="T65" s="2"/>
      <x:c r="U65" s="2"/>
      <x:c r="V65" s="2"/>
      <x:c r="W65" s="2"/>
    </x:row>
    <x:row r="66" ht="28" customHeight="1">
      <x:c r="A66" s="2"/>
      <x:c r="B66" s="2"/>
      <x:c r="C66" s="2"/>
      <x:c r="D66" s="2"/>
      <x:c r="E66" s="2"/>
      <x:c r="F66" s="2"/>
      <x:c r="G66" s="2"/>
      <x:c r="H66" s="2"/>
      <x:c r="I66" s="2"/>
      <x:c r="J66" s="2"/>
      <x:c r="K66" s="2"/>
      <x:c r="L66" s="2"/>
      <x:c r="M66" s="2"/>
      <x:c r="N66" s="2"/>
      <x:c r="O66" s="2"/>
      <x:c r="P66" s="2"/>
      <x:c r="Q66" s="2"/>
      <x:c r="R66" s="2"/>
      <x:c r="S66" s="2"/>
      <x:c r="T66" s="2"/>
      <x:c r="U66" s="2"/>
      <x:c r="V66" s="2"/>
      <x:c r="W66" s="2"/>
    </x:row>
    <x:row r="67" ht="28" customHeight="1">
      <x:c r="A67" s="2"/>
      <x:c r="B67" s="2"/>
      <x:c r="C67" s="2"/>
      <x:c r="D67" s="2"/>
      <x:c r="E67" s="2"/>
      <x:c r="F67" s="2"/>
      <x:c r="G67" s="2"/>
      <x:c r="H67" s="2"/>
      <x:c r="I67" s="2"/>
      <x:c r="J67" s="2"/>
      <x:c r="K67" s="2"/>
      <x:c r="L67" s="2"/>
      <x:c r="M67" s="2"/>
      <x:c r="N67" s="2"/>
      <x:c r="O67" s="2"/>
      <x:c r="P67" s="2"/>
      <x:c r="Q67" s="2"/>
      <x:c r="R67" s="2"/>
      <x:c r="S67" s="2"/>
      <x:c r="T67" s="2"/>
      <x:c r="U67" s="2"/>
      <x:c r="V67" s="2"/>
      <x:c r="W67" s="2"/>
    </x:row>
    <x:row r="68" ht="28" customHeight="1">
      <x:c r="A68" s="2"/>
      <x:c r="B68" s="2"/>
      <x:c r="C68" s="2"/>
      <x:c r="D68" s="2"/>
      <x:c r="E68" s="2"/>
      <x:c r="F68" s="2"/>
      <x:c r="G68" s="2"/>
      <x:c r="H68" s="2"/>
      <x:c r="I68" s="2"/>
      <x:c r="J68" s="2"/>
      <x:c r="K68" s="2"/>
      <x:c r="L68" s="2"/>
      <x:c r="M68" s="2"/>
      <x:c r="N68" s="2"/>
      <x:c r="O68" s="2"/>
      <x:c r="P68" s="2"/>
      <x:c r="Q68" s="2"/>
      <x:c r="R68" s="2"/>
      <x:c r="S68" s="2"/>
      <x:c r="T68" s="2"/>
      <x:c r="U68" s="2"/>
      <x:c r="V68" s="2"/>
      <x:c r="W68" s="2"/>
    </x:row>
    <x:row r="69" ht="28" customHeight="1">
      <x:c r="A69" s="2"/>
      <x:c r="B69" s="2"/>
      <x:c r="C69" s="2"/>
      <x:c r="D69" s="2"/>
      <x:c r="E69" s="2"/>
      <x:c r="F69" s="2"/>
      <x:c r="G69" s="2"/>
      <x:c r="H69" s="2"/>
      <x:c r="I69" s="2"/>
      <x:c r="J69" s="2"/>
      <x:c r="K69" s="2"/>
      <x:c r="L69" s="2"/>
      <x:c r="M69" s="2"/>
      <x:c r="N69" s="2"/>
      <x:c r="O69" s="2"/>
      <x:c r="P69" s="2"/>
      <x:c r="Q69" s="2"/>
      <x:c r="R69" s="2"/>
      <x:c r="S69" s="2"/>
      <x:c r="T69" s="2"/>
      <x:c r="U69" s="2"/>
      <x:c r="V69" s="2"/>
      <x:c r="W69" s="2"/>
    </x:row>
    <x:row r="70" ht="28" customHeight="1">
      <x:c r="A70" s="2"/>
      <x:c r="B70" s="2"/>
      <x:c r="C70" s="2"/>
      <x:c r="D70" s="2"/>
      <x:c r="E70" s="2"/>
      <x:c r="F70" s="2"/>
      <x:c r="G70" s="2"/>
      <x:c r="H70" s="2"/>
      <x:c r="I70" s="2"/>
      <x:c r="J70" s="2"/>
      <x:c r="K70" s="2"/>
      <x:c r="L70" s="2"/>
      <x:c r="M70" s="2"/>
      <x:c r="N70" s="2"/>
      <x:c r="O70" s="2"/>
      <x:c r="P70" s="2"/>
      <x:c r="Q70" s="2"/>
      <x:c r="R70" s="2"/>
      <x:c r="S70" s="2"/>
      <x:c r="T70" s="2"/>
      <x:c r="U70" s="2"/>
      <x:c r="V70" s="2"/>
      <x:c r="W70" s="2"/>
    </x:row>
    <x:row r="71" ht="28" customHeight="1">
      <x:c r="A71" s="2"/>
      <x:c r="B71" s="2"/>
      <x:c r="C71" s="2"/>
      <x:c r="D71" s="2"/>
      <x:c r="E71" s="2"/>
      <x:c r="F71" s="2"/>
      <x:c r="G71" s="2"/>
      <x:c r="H71" s="2"/>
      <x:c r="I71" s="2"/>
      <x:c r="J71" s="2"/>
      <x:c r="K71" s="2"/>
      <x:c r="L71" s="2"/>
      <x:c r="M71" s="2"/>
      <x:c r="N71" s="2"/>
      <x:c r="O71" s="2"/>
      <x:c r="P71" s="2"/>
      <x:c r="Q71" s="2"/>
      <x:c r="R71" s="2"/>
      <x:c r="S71" s="2"/>
      <x:c r="T71" s="2"/>
      <x:c r="U71" s="2"/>
      <x:c r="V71" s="2"/>
      <x:c r="W71" s="2"/>
    </x:row>
    <x:row r="72" ht="28" customHeight="1">
      <x:c r="A72" s="2"/>
      <x:c r="B72" s="2"/>
      <x:c r="C72" s="2"/>
      <x:c r="D72" s="2"/>
      <x:c r="E72" s="2"/>
      <x:c r="F72" s="2"/>
      <x:c r="G72" s="2"/>
      <x:c r="H72" s="2"/>
      <x:c r="I72" s="2"/>
      <x:c r="J72" s="2"/>
      <x:c r="K72" s="2"/>
      <x:c r="L72" s="2"/>
      <x:c r="M72" s="2"/>
      <x:c r="N72" s="2"/>
      <x:c r="O72" s="2"/>
      <x:c r="P72" s="2"/>
      <x:c r="Q72" s="2"/>
      <x:c r="R72" s="2"/>
      <x:c r="S72" s="2"/>
      <x:c r="T72" s="2"/>
      <x:c r="U72" s="2"/>
      <x:c r="V72" s="2"/>
      <x:c r="W72" s="2"/>
    </x:row>
    <x:row r="73" ht="28" customHeight="1">
      <x:c r="A73" s="2"/>
      <x:c r="B73" s="2"/>
      <x:c r="C73" s="2"/>
      <x:c r="D73" s="2"/>
      <x:c r="E73" s="2"/>
      <x:c r="F73" s="2"/>
      <x:c r="G73" s="2"/>
      <x:c r="H73" s="2"/>
      <x:c r="I73" s="2"/>
      <x:c r="J73" s="2"/>
      <x:c r="K73" s="2"/>
      <x:c r="L73" s="2"/>
      <x:c r="M73" s="2"/>
      <x:c r="N73" s="2"/>
      <x:c r="O73" s="2"/>
      <x:c r="P73" s="2"/>
      <x:c r="Q73" s="2"/>
      <x:c r="R73" s="2"/>
      <x:c r="S73" s="2"/>
      <x:c r="T73" s="2"/>
      <x:c r="U73" s="2"/>
      <x:c r="V73" s="2"/>
      <x:c r="W73" s="2"/>
    </x:row>
    <x:row r="74" ht="28" customHeight="1">
      <x:c r="A74" s="2"/>
      <x:c r="B74" s="2"/>
      <x:c r="C74" s="2"/>
      <x:c r="D74" s="2"/>
      <x:c r="E74" s="2"/>
      <x:c r="F74" s="2"/>
      <x:c r="G74" s="2"/>
      <x:c r="H74" s="2"/>
      <x:c r="I74" s="2"/>
      <x:c r="J74" s="2"/>
      <x:c r="K74" s="2"/>
      <x:c r="L74" s="2"/>
      <x:c r="M74" s="2"/>
      <x:c r="N74" s="2"/>
      <x:c r="O74" s="2"/>
      <x:c r="P74" s="2"/>
      <x:c r="Q74" s="2"/>
      <x:c r="R74" s="2"/>
      <x:c r="S74" s="2"/>
      <x:c r="T74" s="2"/>
      <x:c r="U74" s="2"/>
      <x:c r="V74" s="2"/>
      <x:c r="W74" s="2"/>
    </x:row>
    <x:row r="75" ht="28" customHeight="1">
      <x:c r="A75" s="2"/>
      <x:c r="B75" s="2"/>
      <x:c r="C75" s="2"/>
      <x:c r="D75" s="2"/>
      <x:c r="E75" s="2"/>
      <x:c r="F75" s="2"/>
      <x:c r="G75" s="2"/>
      <x:c r="H75" s="2"/>
      <x:c r="I75" s="2"/>
      <x:c r="J75" s="2"/>
      <x:c r="K75" s="2"/>
      <x:c r="L75" s="2"/>
      <x:c r="M75" s="2"/>
      <x:c r="N75" s="2"/>
      <x:c r="O75" s="2"/>
      <x:c r="P75" s="2"/>
      <x:c r="Q75" s="2"/>
      <x:c r="R75" s="2"/>
      <x:c r="S75" s="2"/>
      <x:c r="T75" s="2"/>
      <x:c r="U75" s="2"/>
      <x:c r="V75" s="2"/>
      <x:c r="W75" s="2"/>
    </x:row>
    <x:row r="76" ht="28" customHeight="1">
      <x:c r="A76" s="2"/>
      <x:c r="B76" s="2"/>
      <x:c r="C76" s="2"/>
      <x:c r="D76" s="2"/>
      <x:c r="E76" s="2"/>
      <x:c r="F76" s="2"/>
      <x:c r="G76" s="2"/>
      <x:c r="H76" s="2"/>
      <x:c r="I76" s="2"/>
      <x:c r="J76" s="2"/>
      <x:c r="K76" s="2"/>
      <x:c r="L76" s="2"/>
      <x:c r="M76" s="2"/>
      <x:c r="N76" s="2"/>
      <x:c r="O76" s="2"/>
      <x:c r="P76" s="2"/>
      <x:c r="Q76" s="2"/>
      <x:c r="R76" s="2"/>
      <x:c r="S76" s="2"/>
      <x:c r="T76" s="2"/>
      <x:c r="U76" s="2"/>
      <x:c r="V76" s="2"/>
      <x:c r="W76" s="2"/>
    </x:row>
    <x:row r="77" ht="28" customHeight="1">
      <x:c r="A77" s="2"/>
      <x:c r="B77" s="2"/>
      <x:c r="C77" s="2"/>
      <x:c r="D77" s="2"/>
      <x:c r="E77" s="2"/>
      <x:c r="F77" s="2"/>
      <x:c r="G77" s="2"/>
      <x:c r="H77" s="2"/>
      <x:c r="I77" s="2"/>
      <x:c r="J77" s="2"/>
      <x:c r="K77" s="2"/>
      <x:c r="L77" s="2"/>
      <x:c r="M77" s="2"/>
      <x:c r="N77" s="2"/>
      <x:c r="O77" s="2"/>
      <x:c r="P77" s="2"/>
      <x:c r="Q77" s="2"/>
      <x:c r="R77" s="2"/>
      <x:c r="S77" s="2"/>
      <x:c r="T77" s="2"/>
      <x:c r="U77" s="2"/>
      <x:c r="V77" s="2"/>
      <x:c r="W77" s="2"/>
    </x:row>
    <x:row r="78" ht="28" customHeight="1">
      <x:c r="A78" s="2"/>
      <x:c r="B78" s="2"/>
      <x:c r="C78" s="2"/>
      <x:c r="D78" s="2"/>
      <x:c r="E78" s="2"/>
      <x:c r="F78" s="2"/>
      <x:c r="G78" s="2"/>
      <x:c r="H78" s="2"/>
      <x:c r="I78" s="2"/>
      <x:c r="J78" s="2"/>
      <x:c r="K78" s="2"/>
      <x:c r="L78" s="2"/>
      <x:c r="M78" s="2"/>
      <x:c r="N78" s="2"/>
      <x:c r="O78" s="2"/>
      <x:c r="P78" s="2"/>
      <x:c r="Q78" s="2"/>
      <x:c r="R78" s="2"/>
      <x:c r="S78" s="2"/>
      <x:c r="T78" s="2"/>
      <x:c r="U78" s="2"/>
      <x:c r="V78" s="2"/>
      <x:c r="W78" s="2"/>
    </x:row>
    <x:row r="79" ht="28" customHeight="1">
      <x:c r="A79" s="2"/>
      <x:c r="B79" s="2"/>
      <x:c r="C79" s="2"/>
      <x:c r="D79" s="2"/>
      <x:c r="E79" s="2"/>
      <x:c r="F79" s="2"/>
      <x:c r="G79" s="2"/>
      <x:c r="H79" s="2"/>
      <x:c r="I79" s="2"/>
      <x:c r="J79" s="2"/>
      <x:c r="K79" s="2"/>
      <x:c r="L79" s="2"/>
      <x:c r="M79" s="2"/>
      <x:c r="N79" s="2"/>
      <x:c r="O79" s="2"/>
      <x:c r="P79" s="2"/>
      <x:c r="Q79" s="2"/>
      <x:c r="R79" s="2"/>
      <x:c r="S79" s="2"/>
      <x:c r="T79" s="2"/>
      <x:c r="U79" s="2"/>
      <x:c r="V79" s="2"/>
      <x:c r="W79" s="2"/>
    </x:row>
    <x:row r="80" ht="28" customHeight="1">
      <x:c r="A80" s="2"/>
      <x:c r="B80" s="2"/>
      <x:c r="C80" s="2"/>
      <x:c r="D80" s="2"/>
      <x:c r="E80" s="2"/>
      <x:c r="F80" s="2"/>
      <x:c r="G80" s="2"/>
      <x:c r="H80" s="2"/>
      <x:c r="I80" s="2"/>
      <x:c r="J80" s="2"/>
      <x:c r="K80" s="2"/>
      <x:c r="L80" s="2"/>
      <x:c r="M80" s="2"/>
      <x:c r="N80" s="2"/>
      <x:c r="O80" s="2"/>
      <x:c r="P80" s="2"/>
      <x:c r="Q80" s="2"/>
      <x:c r="R80" s="2"/>
      <x:c r="S80" s="2"/>
      <x:c r="T80" s="2"/>
      <x:c r="U80" s="2"/>
      <x:c r="V80" s="2"/>
      <x:c r="W80" s="2"/>
    </x:row>
    <x:row r="81" ht="28" customHeight="1">
      <x:c r="A81" s="2"/>
      <x:c r="B81" s="2"/>
      <x:c r="C81" s="2"/>
      <x:c r="D81" s="2"/>
      <x:c r="E81" s="2"/>
      <x:c r="F81" s="2"/>
      <x:c r="G81" s="2"/>
      <x:c r="H81" s="2"/>
      <x:c r="I81" s="2"/>
      <x:c r="J81" s="2"/>
      <x:c r="K81" s="2"/>
      <x:c r="L81" s="2"/>
      <x:c r="M81" s="2"/>
      <x:c r="N81" s="2"/>
      <x:c r="O81" s="2"/>
      <x:c r="P81" s="2"/>
      <x:c r="Q81" s="2"/>
      <x:c r="R81" s="2"/>
      <x:c r="S81" s="2"/>
      <x:c r="T81" s="2"/>
      <x:c r="U81" s="2"/>
      <x:c r="V81" s="2"/>
      <x:c r="W81" s="2"/>
    </x:row>
    <x:row r="82" ht="28" customHeight="1">
      <x:c r="A82" s="2"/>
      <x:c r="B82" s="2"/>
      <x:c r="C82" s="2"/>
      <x:c r="D82" s="2"/>
      <x:c r="E82" s="2"/>
      <x:c r="F82" s="2"/>
      <x:c r="G82" s="2"/>
      <x:c r="H82" s="2"/>
      <x:c r="I82" s="2"/>
      <x:c r="J82" s="2"/>
      <x:c r="K82" s="2"/>
      <x:c r="L82" s="2"/>
      <x:c r="M82" s="2"/>
      <x:c r="N82" s="2"/>
      <x:c r="O82" s="2"/>
      <x:c r="P82" s="2"/>
      <x:c r="Q82" s="2"/>
      <x:c r="R82" s="2"/>
      <x:c r="S82" s="2"/>
      <x:c r="T82" s="2"/>
      <x:c r="U82" s="2"/>
      <x:c r="V82" s="2"/>
      <x:c r="W82" s="2"/>
    </x:row>
    <x:row r="83" ht="28" customHeight="1">
      <x:c r="A83" s="2"/>
      <x:c r="B83" s="2"/>
      <x:c r="C83" s="2"/>
      <x:c r="D83" s="2"/>
      <x:c r="E83" s="2"/>
      <x:c r="F83" s="2"/>
      <x:c r="G83" s="2"/>
      <x:c r="H83" s="2"/>
      <x:c r="I83" s="2"/>
      <x:c r="J83" s="2"/>
      <x:c r="K83" s="2"/>
      <x:c r="L83" s="2"/>
      <x:c r="M83" s="2"/>
      <x:c r="N83" s="2"/>
      <x:c r="O83" s="2"/>
      <x:c r="P83" s="2"/>
      <x:c r="Q83" s="2"/>
      <x:c r="R83" s="2"/>
      <x:c r="S83" s="2"/>
      <x:c r="T83" s="2"/>
      <x:c r="U83" s="2"/>
      <x:c r="V83" s="2"/>
      <x:c r="W83" s="2"/>
    </x:row>
    <x:row r="84" ht="28" customHeight="1">
      <x:c r="A84" s="2"/>
      <x:c r="B84" s="2"/>
      <x:c r="C84" s="2"/>
      <x:c r="D84" s="2"/>
      <x:c r="E84" s="2"/>
      <x:c r="F84" s="2"/>
      <x:c r="G84" s="2"/>
      <x:c r="H84" s="2"/>
      <x:c r="I84" s="2"/>
      <x:c r="J84" s="2"/>
      <x:c r="K84" s="2"/>
      <x:c r="L84" s="2"/>
      <x:c r="M84" s="2"/>
      <x:c r="N84" s="2"/>
      <x:c r="O84" s="2"/>
      <x:c r="P84" s="2"/>
      <x:c r="Q84" s="2"/>
      <x:c r="R84" s="2"/>
      <x:c r="S84" s="2"/>
      <x:c r="T84" s="2"/>
      <x:c r="U84" s="2"/>
      <x:c r="V84" s="2"/>
      <x:c r="W84" s="2"/>
    </x:row>
    <x:row r="85" ht="28" customHeight="1">
      <x:c r="A85" s="2"/>
      <x:c r="B85" s="2"/>
      <x:c r="C85" s="2"/>
      <x:c r="D85" s="2"/>
      <x:c r="E85" s="2"/>
      <x:c r="F85" s="2"/>
      <x:c r="G85" s="2"/>
      <x:c r="H85" s="2"/>
      <x:c r="I85" s="2"/>
      <x:c r="J85" s="2"/>
      <x:c r="K85" s="2"/>
      <x:c r="L85" s="2"/>
      <x:c r="M85" s="2"/>
      <x:c r="N85" s="2"/>
      <x:c r="O85" s="2"/>
      <x:c r="P85" s="2"/>
      <x:c r="Q85" s="2"/>
      <x:c r="R85" s="2"/>
      <x:c r="S85" s="2"/>
      <x:c r="T85" s="2"/>
      <x:c r="U85" s="2"/>
      <x:c r="V85" s="2"/>
      <x:c r="W85" s="2"/>
    </x:row>
    <x:row r="86" ht="28" customHeight="1">
      <x:c r="A86" s="2"/>
      <x:c r="B86" s="2"/>
      <x:c r="C86" s="2"/>
      <x:c r="D86" s="2"/>
      <x:c r="E86" s="2"/>
      <x:c r="F86" s="2"/>
      <x:c r="G86" s="2"/>
      <x:c r="H86" s="2"/>
      <x:c r="I86" s="2"/>
      <x:c r="J86" s="2"/>
      <x:c r="K86" s="2"/>
      <x:c r="L86" s="2"/>
      <x:c r="M86" s="2"/>
      <x:c r="N86" s="2"/>
      <x:c r="O86" s="2"/>
      <x:c r="P86" s="2"/>
      <x:c r="Q86" s="2"/>
      <x:c r="R86" s="2"/>
      <x:c r="S86" s="2"/>
      <x:c r="T86" s="2"/>
      <x:c r="U86" s="2"/>
      <x:c r="V86" s="2"/>
      <x:c r="W86" s="2"/>
    </x:row>
    <x:row r="87" ht="28" customHeight="1">
      <x:c r="A87" s="2"/>
      <x:c r="B87" s="2"/>
      <x:c r="C87" s="2"/>
      <x:c r="D87" s="2"/>
      <x:c r="E87" s="2"/>
      <x:c r="F87" s="2"/>
      <x:c r="G87" s="2"/>
      <x:c r="H87" s="2"/>
      <x:c r="I87" s="2"/>
      <x:c r="J87" s="2"/>
      <x:c r="K87" s="2"/>
      <x:c r="L87" s="2"/>
      <x:c r="M87" s="2"/>
      <x:c r="N87" s="2"/>
      <x:c r="O87" s="2"/>
      <x:c r="P87" s="2"/>
      <x:c r="Q87" s="2"/>
      <x:c r="R87" s="2"/>
      <x:c r="S87" s="2"/>
      <x:c r="T87" s="2"/>
      <x:c r="U87" s="2"/>
      <x:c r="V87" s="2"/>
      <x:c r="W87" s="2"/>
    </x:row>
    <x:row r="88" ht="28" customHeight="1">
      <x:c r="A88" s="2"/>
      <x:c r="B88" s="2"/>
      <x:c r="C88" s="2"/>
      <x:c r="D88" s="2"/>
      <x:c r="E88" s="2"/>
      <x:c r="F88" s="2"/>
      <x:c r="G88" s="2"/>
      <x:c r="H88" s="2"/>
      <x:c r="I88" s="2"/>
      <x:c r="J88" s="2"/>
      <x:c r="K88" s="2"/>
      <x:c r="L88" s="2"/>
      <x:c r="M88" s="2"/>
      <x:c r="N88" s="2"/>
      <x:c r="O88" s="2"/>
      <x:c r="P88" s="2"/>
      <x:c r="Q88" s="2"/>
      <x:c r="R88" s="2"/>
      <x:c r="S88" s="2"/>
      <x:c r="T88" s="2"/>
      <x:c r="U88" s="2"/>
      <x:c r="V88" s="2"/>
      <x:c r="W88" s="2"/>
    </x:row>
    <x:row r="89" ht="28" customHeight="1">
      <x:c r="A89" s="2"/>
      <x:c r="B89" s="2"/>
      <x:c r="C89" s="2"/>
      <x:c r="D89" s="2"/>
      <x:c r="E89" s="2"/>
      <x:c r="F89" s="2"/>
      <x:c r="G89" s="2"/>
      <x:c r="H89" s="2"/>
      <x:c r="I89" s="2"/>
      <x:c r="J89" s="2"/>
      <x:c r="K89" s="2"/>
      <x:c r="L89" s="2"/>
      <x:c r="M89" s="2"/>
      <x:c r="N89" s="2"/>
      <x:c r="O89" s="2"/>
      <x:c r="P89" s="2"/>
      <x:c r="Q89" s="2"/>
      <x:c r="R89" s="2"/>
      <x:c r="S89" s="2"/>
      <x:c r="T89" s="2"/>
      <x:c r="U89" s="2"/>
      <x:c r="V89" s="2"/>
      <x:c r="W89" s="2"/>
    </x:row>
    <x:row r="90" ht="28" customHeight="1">
      <x:c r="A90" s="2"/>
      <x:c r="B90" s="2"/>
      <x:c r="C90" s="2"/>
      <x:c r="D90" s="2"/>
      <x:c r="E90" s="2"/>
      <x:c r="F90" s="2"/>
      <x:c r="G90" s="2"/>
      <x:c r="H90" s="2"/>
      <x:c r="I90" s="2"/>
      <x:c r="J90" s="2"/>
      <x:c r="K90" s="2"/>
      <x:c r="L90" s="2"/>
      <x:c r="M90" s="2"/>
      <x:c r="N90" s="2"/>
      <x:c r="O90" s="2"/>
      <x:c r="P90" s="2"/>
      <x:c r="Q90" s="2"/>
      <x:c r="R90" s="2"/>
      <x:c r="S90" s="2"/>
      <x:c r="T90" s="2"/>
      <x:c r="U90" s="2"/>
      <x:c r="V90" s="2"/>
      <x:c r="W90" s="2"/>
    </x:row>
    <x:row r="91" ht="28" customHeight="1">
      <x:c r="A91" s="2"/>
      <x:c r="B91" s="2"/>
      <x:c r="C91" s="2"/>
      <x:c r="D91" s="2"/>
      <x:c r="E91" s="2"/>
      <x:c r="F91" s="2"/>
      <x:c r="G91" s="2"/>
      <x:c r="H91" s="2"/>
      <x:c r="I91" s="2"/>
      <x:c r="J91" s="2"/>
      <x:c r="K91" s="2"/>
      <x:c r="L91" s="2"/>
      <x:c r="M91" s="2"/>
      <x:c r="N91" s="2"/>
      <x:c r="O91" s="2"/>
      <x:c r="P91" s="2"/>
      <x:c r="Q91" s="2"/>
      <x:c r="R91" s="2"/>
      <x:c r="S91" s="2"/>
      <x:c r="T91" s="2"/>
      <x:c r="U91" s="2"/>
      <x:c r="V91" s="2"/>
      <x:c r="W91" s="2"/>
    </x:row>
    <x:row r="92" ht="28" customHeight="1">
      <x:c r="A92" s="2"/>
      <x:c r="B92" s="2"/>
      <x:c r="C92" s="2"/>
      <x:c r="D92" s="2"/>
      <x:c r="E92" s="2"/>
      <x:c r="F92" s="2"/>
      <x:c r="G92" s="2"/>
      <x:c r="H92" s="2"/>
      <x:c r="I92" s="2"/>
      <x:c r="J92" s="2"/>
      <x:c r="K92" s="2"/>
      <x:c r="L92" s="2"/>
      <x:c r="M92" s="2"/>
      <x:c r="N92" s="2"/>
      <x:c r="O92" s="2"/>
      <x:c r="P92" s="2"/>
      <x:c r="Q92" s="2"/>
      <x:c r="R92" s="2"/>
      <x:c r="S92" s="2"/>
      <x:c r="T92" s="2"/>
      <x:c r="U92" s="2"/>
      <x:c r="V92" s="2"/>
      <x:c r="W92" s="2"/>
    </x:row>
    <x:row r="93" ht="28" customHeight="1">
      <x:c r="A93" s="2"/>
      <x:c r="B93" s="2"/>
      <x:c r="C93" s="2"/>
      <x:c r="D93" s="2"/>
      <x:c r="E93" s="2"/>
      <x:c r="F93" s="2"/>
      <x:c r="G93" s="2"/>
      <x:c r="H93" s="2"/>
      <x:c r="I93" s="2"/>
      <x:c r="J93" s="2"/>
      <x:c r="K93" s="2"/>
      <x:c r="L93" s="2"/>
      <x:c r="M93" s="2"/>
      <x:c r="N93" s="2"/>
      <x:c r="O93" s="2"/>
      <x:c r="P93" s="2"/>
      <x:c r="Q93" s="2"/>
      <x:c r="R93" s="2"/>
      <x:c r="S93" s="2"/>
      <x:c r="T93" s="2"/>
      <x:c r="U93" s="2"/>
      <x:c r="V93" s="2"/>
      <x:c r="W93" s="2"/>
    </x:row>
    <x:row r="94" ht="28" customHeight="1">
      <x:c r="A94" s="2"/>
      <x:c r="B94" s="2"/>
      <x:c r="C94" s="2"/>
      <x:c r="D94" s="2"/>
      <x:c r="E94" s="2"/>
      <x:c r="F94" s="2"/>
      <x:c r="G94" s="2"/>
      <x:c r="H94" s="2"/>
      <x:c r="I94" s="2"/>
      <x:c r="J94" s="2"/>
      <x:c r="K94" s="2"/>
      <x:c r="L94" s="2"/>
      <x:c r="M94" s="2"/>
      <x:c r="N94" s="2"/>
      <x:c r="O94" s="2"/>
      <x:c r="P94" s="2"/>
      <x:c r="Q94" s="2"/>
      <x:c r="R94" s="2"/>
      <x:c r="S94" s="2"/>
      <x:c r="T94" s="2"/>
      <x:c r="U94" s="2"/>
      <x:c r="V94" s="2"/>
      <x:c r="W94" s="2"/>
    </x:row>
    <x:row r="95" ht="28" customHeight="1">
      <x:c r="A95" s="2"/>
      <x:c r="B95" s="2"/>
      <x:c r="C95" s="2"/>
      <x:c r="D95" s="2"/>
      <x:c r="E95" s="2"/>
      <x:c r="F95" s="2"/>
      <x:c r="G95" s="2"/>
      <x:c r="H95" s="2"/>
      <x:c r="I95" s="2"/>
      <x:c r="J95" s="2"/>
      <x:c r="K95" s="2"/>
      <x:c r="L95" s="2"/>
      <x:c r="M95" s="2"/>
      <x:c r="N95" s="2"/>
      <x:c r="O95" s="2"/>
      <x:c r="P95" s="2"/>
      <x:c r="Q95" s="2"/>
      <x:c r="R95" s="2"/>
      <x:c r="S95" s="2"/>
      <x:c r="T95" s="2"/>
      <x:c r="U95" s="2"/>
      <x:c r="V95" s="2"/>
      <x:c r="W95" s="2"/>
    </x:row>
    <x:row r="96" ht="28" customHeight="1">
      <x:c r="A96" s="2"/>
      <x:c r="B96" s="2"/>
      <x:c r="C96" s="2"/>
      <x:c r="D96" s="2"/>
      <x:c r="E96" s="2"/>
      <x:c r="F96" s="2"/>
      <x:c r="G96" s="2"/>
      <x:c r="H96" s="2"/>
      <x:c r="I96" s="2"/>
      <x:c r="J96" s="2"/>
      <x:c r="K96" s="2"/>
      <x:c r="L96" s="2"/>
      <x:c r="M96" s="2"/>
      <x:c r="N96" s="2"/>
      <x:c r="O96" s="2"/>
      <x:c r="P96" s="2"/>
      <x:c r="Q96" s="2"/>
      <x:c r="R96" s="2"/>
      <x:c r="S96" s="2"/>
      <x:c r="T96" s="2"/>
      <x:c r="U96" s="2"/>
      <x:c r="V96" s="2"/>
      <x:c r="W96" s="2"/>
    </x:row>
    <x:row r="97" ht="28" customHeight="1">
      <x:c r="A97" s="2"/>
      <x:c r="B97" s="2"/>
      <x:c r="C97" s="2"/>
      <x:c r="D97" s="2"/>
      <x:c r="E97" s="2"/>
      <x:c r="F97" s="2"/>
      <x:c r="G97" s="2"/>
      <x:c r="H97" s="2"/>
      <x:c r="I97" s="2"/>
      <x:c r="J97" s="2"/>
      <x:c r="K97" s="2"/>
      <x:c r="L97" s="2"/>
      <x:c r="M97" s="2"/>
      <x:c r="N97" s="2"/>
      <x:c r="O97" s="2"/>
      <x:c r="P97" s="2"/>
      <x:c r="Q97" s="2"/>
      <x:c r="R97" s="2"/>
      <x:c r="S97" s="2"/>
      <x:c r="T97" s="2"/>
      <x:c r="U97" s="2"/>
      <x:c r="V97" s="2"/>
      <x:c r="W97" s="2"/>
    </x:row>
    <x:row r="98" ht="28" customHeight="1">
      <x:c r="A98" s="2"/>
      <x:c r="B98" s="2"/>
      <x:c r="C98" s="2"/>
      <x:c r="D98" s="2"/>
      <x:c r="E98" s="2"/>
      <x:c r="F98" s="2"/>
      <x:c r="G98" s="2"/>
      <x:c r="H98" s="2"/>
      <x:c r="I98" s="2"/>
      <x:c r="J98" s="2"/>
      <x:c r="K98" s="2"/>
      <x:c r="L98" s="2"/>
      <x:c r="M98" s="2"/>
      <x:c r="N98" s="2"/>
      <x:c r="O98" s="2"/>
      <x:c r="P98" s="2"/>
      <x:c r="Q98" s="2"/>
      <x:c r="R98" s="2"/>
      <x:c r="S98" s="2"/>
      <x:c r="T98" s="2"/>
      <x:c r="U98" s="2"/>
      <x:c r="V98" s="2"/>
      <x:c r="W98" s="2"/>
    </x:row>
    <x:row r="99" ht="28" customHeight="1">
      <x:c r="A99" s="2"/>
      <x:c r="B99" s="2"/>
      <x:c r="C99" s="2"/>
      <x:c r="D99" s="2"/>
      <x:c r="E99" s="2"/>
      <x:c r="F99" s="2"/>
      <x:c r="G99" s="2"/>
      <x:c r="H99" s="2"/>
      <x:c r="I99" s="2"/>
      <x:c r="J99" s="2"/>
      <x:c r="K99" s="2"/>
      <x:c r="L99" s="2"/>
      <x:c r="M99" s="2"/>
      <x:c r="N99" s="2"/>
      <x:c r="O99" s="2"/>
      <x:c r="P99" s="2"/>
      <x:c r="Q99" s="2"/>
      <x:c r="R99" s="2"/>
      <x:c r="S99" s="2"/>
      <x:c r="T99" s="2"/>
      <x:c r="U99" s="2"/>
      <x:c r="V99" s="2"/>
      <x:c r="W99" s="2"/>
    </x:row>
    <x:row r="100" ht="28"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row>
    <x:row r="101" ht="28"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row>
    <x:row r="102" ht="28"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row>
    <x:row r="103" ht="28"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row>
    <x:row r="104" ht="28"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row>
    <x:row r="105" ht="28"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row>
    <x:row r="106" ht="28"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row>
    <x:row r="107" ht="28"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row>
    <x:row r="108" ht="28"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row>
    <x:row r="109" ht="28"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row>
    <x:row r="110" ht="28"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row>
    <x:row r="111" ht="28"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row>
    <x:row r="112" ht="28"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row>
    <x:row r="113" ht="28"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row>
    <x:row r="114" ht="28"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row>
    <x:row r="115" ht="28"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row>
    <x:row r="116" ht="28"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row>
    <x:row r="117" ht="28"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row>
    <x:row r="118" ht="28"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row>
    <x:row r="119" ht="28"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row>
    <x:row r="120" ht="28"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7" hidden="0" customWidth="1"/>
    <x:col min="2" max="2" width="23" hidden="0" customWidth="1"/>
    <x:col min="3" max="3" width="22" hidden="0" customWidth="1"/>
    <x:col min="4" max="4" width="8" hidden="0" customWidth="1"/>
    <x:col min="5" max="5" width="27" hidden="0" customWidth="1"/>
    <x:col min="6" max="6" width="44" hidden="0" customWidth="1"/>
    <x:col min="7" max="7" width="35" hidden="0" customWidth="1"/>
    <x:col min="8" max="8" width="36" hidden="0" customWidth="1"/>
    <x:col min="9" max="9" width="4" hidden="0" customWidth="1"/>
    <x:col min="10" max="10" width="15" hidden="0" customWidth="1"/>
    <x:col min="11" max="11" width="16" hidden="0" customWidth="1"/>
    <x:col min="12" max="12" width="20" hidden="0" customWidth="1"/>
    <x:col min="13" max="13" width="62" hidden="0" customWidth="1"/>
    <x:col min="14" max="14" width="20" hidden="0" customWidth="1"/>
    <x:col min="15" max="15" width="58" hidden="0" customWidth="1"/>
  </x:cols>
  <x:sheetData>
    <x:row r="1" ht="28" customHeight="1">
      <x:c r="A1" s="2"/>
      <x:c r="B1" s="2"/>
      <x:c r="C1" s="2"/>
      <x:c r="D1" s="2"/>
      <x:c r="E1" s="2"/>
      <x:c r="F1" s="2"/>
      <x:c r="G1" s="2"/>
      <x:c r="H1" s="2"/>
      <x:c r="I1" s="2"/>
      <x:c r="J1" s="2"/>
      <x:c r="K1" s="2"/>
      <x:c r="L1" s="2"/>
      <x:c r="M1" s="2"/>
      <x:c r="N1" s="2"/>
      <x:c r="O1" s="2"/>
    </x:row>
    <x:row r="2" ht="28" customHeight="1">
      <x:c r="A2" s="3" t="str">
        <x:v>PCB vendor records and material estimates</x:v>
      </x:c>
      <x:c r="B2" s="2"/>
      <x:c r="C2" s="2"/>
      <x:c r="D2" s="2"/>
      <x:c r="E2" s="2"/>
      <x:c r="F2" s="2"/>
      <x:c r="G2" s="2"/>
      <x:c r="H2" s="2"/>
      <x:c r="I2" s="2"/>
      <x:c r="J2" s="2"/>
      <x:c r="K2" s="2"/>
      <x:c r="L2" s="2"/>
      <x:c r="M2" s="2"/>
      <x:c r="N2" s="2"/>
      <x:c r="O2" s="2"/>
    </x:row>
    <x:row r="3" ht="28" customHeight="1">
      <x:c r="A3" s="4" t="str">
        <x:v>61 source rows retained. Do not add materials to the PCBA quote.</x:v>
      </x:c>
      <x:c r="B3" s="2"/>
      <x:c r="C3" s="2"/>
      <x:c r="D3" s="2"/>
      <x:c r="E3" s="2"/>
      <x:c r="F3" s="2"/>
      <x:c r="G3" s="2"/>
      <x:c r="H3" s="2"/>
      <x:c r="I3" s="2"/>
      <x:c r="J3" s="2"/>
      <x:c r="K3" s="2"/>
      <x:c r="L3" s="2"/>
      <x:c r="M3" s="2"/>
      <x:c r="N3" s="2"/>
      <x:c r="O3" s="2"/>
    </x:row>
    <x:row r="4" ht="48" customHeight="1">
      <x:c r="A4" s="23" t="str">
        <x:v>Row</x:v>
      </x:c>
      <x:c r="B4" s="23" t="str">
        <x:v>Reference</x:v>
      </x:c>
      <x:c r="C4" s="23" t="str">
        <x:v>Name</x:v>
      </x:c>
      <x:c r="D4" s="23" t="str">
        <x:v>Qty</x:v>
      </x:c>
      <x:c r="E4" s="23" t="str">
        <x:v>Vendor value</x:v>
      </x:c>
      <x:c r="F4" s="23" t="str">
        <x:v>Specification</x:v>
      </x:c>
      <x:c r="G4" s="23" t="str">
        <x:v>Purpose and location</x:v>
      </x:c>
      <x:c r="H4" s="23" t="str">
        <x:v>Missing details</x:v>
      </x:c>
      <x:c r="I4" s="23" t="str"/>
      <x:c r="J4" s="23" t="str">
        <x:v>Unit USD</x:v>
      </x:c>
      <x:c r="K4" s="23" t="str">
        <x:v>Material USD</x:v>
      </x:c>
      <x:c r="L4" s="23" t="str">
        <x:v>Price type</x:v>
      </x:c>
      <x:c r="M4" s="23" t="str">
        <x:v>Sources / original quotations</x:v>
      </x:c>
      <x:c r="N4"/>
      <x:c r="O4"/>
    </x:row>
    <x:row r="5" ht="153" customHeight="1">
      <x:c r="A5" s="10" t="n">
        <x:v>1</x:v>
      </x:c>
      <x:c r="B5" s="10" t="str">
        <x:v>C1</x:v>
      </x:c>
      <x:c r="C5" s="10" t="str">
        <x:v>Capacitor (value not supplied)</x:v>
      </x:c>
      <x:c r="D5" s="10" t="n">
        <x:v>1</x:v>
      </x:c>
      <x:c r="E5" s="10" t="str"/>
      <x:c r="F5" s="10" t="str">
        <x:v>No capacitance is given in the vendor BOM or schematic.</x:v>
      </x:c>
      <x:c r="G5" s="10" t="str">
        <x:v>U2 system-output decoupling
Schematic page 1: charger / power path</x:v>
      </x:c>
      <x:c r="H5" s="10" t="str">
        <x:v>Confirm MPN,case/height,voltage,tolerance,dielectric and ESR</x:v>
      </x:c>
      <x:c r="I5" s="10" t="str"/>
      <x:c r="J5" s="19" t="n">
        <x:v>0.0628831944662789</x:v>
      </x:c>
      <x:c r="K5" s="24" t="n">
        <x:f>IF(AND(ISNUMBER(J5),J5&gt;=0,ISNUMBER(D5),D5&gt;=0),J5*D5,"")</x:f>
        <x:v>0.0628831944662789</x:v>
      </x:c>
      <x:c r="L5" s="10" t="str">
        <x:v>Allowance</x:v>
      </x:c>
      <x:c r="M5" s="10" t="str">
        <x:v>vendor_BOM row 1;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5"/>
      <x:c r="O5"/>
    </x:row>
    <x:row r="6" ht="153" customHeight="1">
      <x:c r="A6" s="10" t="n">
        <x:v>2</x:v>
      </x:c>
      <x:c r="B6" s="10" t="str">
        <x:v>C2</x:v>
      </x:c>
      <x:c r="C6" s="10" t="str">
        <x:v>Capacitor (value not supplied)</x:v>
      </x:c>
      <x:c r="D6" s="10" t="n">
        <x:v>1</x:v>
      </x:c>
      <x:c r="E6" s="10" t="str"/>
      <x:c r="F6" s="10" t="str">
        <x:v>No capacitance is given in the vendor BOM or schematic.</x:v>
      </x:c>
      <x:c r="G6" s="10" t="str">
        <x:v>Boost-input decoupling
Schematic page 1: boost supply</x:v>
      </x:c>
      <x:c r="H6" s="10" t="str">
        <x:v>Confirm MPN,case/height,voltage,tolerance,dielectric and ESR</x:v>
      </x:c>
      <x:c r="I6" s="10" t="str"/>
      <x:c r="J6" s="19" t="n">
        <x:v>0.0628831944662789</x:v>
      </x:c>
      <x:c r="K6" s="24" t="n">
        <x:f>IF(AND(ISNUMBER(J6),J6&gt;=0,ISNUMBER(D6),D6&gt;=0),J6*D6,"")</x:f>
        <x:v>0.0628831944662789</x:v>
      </x:c>
      <x:c r="L6" s="10" t="str">
        <x:v>Allowance</x:v>
      </x:c>
      <x:c r="M6" s="10" t="str">
        <x:v>vendor_BOM row 2;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6"/>
      <x:c r="O6"/>
    </x:row>
    <x:row r="7" ht="153" customHeight="1">
      <x:c r="A7" s="10" t="n">
        <x:v>3</x:v>
      </x:c>
      <x:c r="B7" s="10" t="str">
        <x:v>C3</x:v>
      </x:c>
      <x:c r="C7" s="10" t="str">
        <x:v>Capacitor (value not supplied)</x:v>
      </x:c>
      <x:c r="D7" s="10" t="n">
        <x:v>1</x:v>
      </x:c>
      <x:c r="E7" s="10" t="str"/>
      <x:c r="F7" s="10" t="str">
        <x:v>No capacitance is given in the vendor BOM or schematic.</x:v>
      </x:c>
      <x:c r="G7" s="10" t="str">
        <x:v>5V boost-output filtering
Schematic page 1: boost supply</x:v>
      </x:c>
      <x:c r="H7" s="10" t="str">
        <x:v>Confirm MPN,case/height,voltage,tolerance,dielectric and ESR</x:v>
      </x:c>
      <x:c r="I7" s="10" t="str"/>
      <x:c r="J7" s="19" t="n">
        <x:v>0.0628831944662789</x:v>
      </x:c>
      <x:c r="K7" s="24" t="n">
        <x:f>IF(AND(ISNUMBER(J7),J7&gt;=0,ISNUMBER(D7),D7&gt;=0),J7*D7,"")</x:f>
        <x:v>0.0628831944662789</x:v>
      </x:c>
      <x:c r="L7" s="10" t="str">
        <x:v>Allowance</x:v>
      </x:c>
      <x:c r="M7" s="10" t="str">
        <x:v>vendor_BOM row 3;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7"/>
      <x:c r="O7"/>
    </x:row>
    <x:row r="8" ht="153" customHeight="1">
      <x:c r="A8" s="10" t="n">
        <x:v>4</x:v>
      </x:c>
      <x:c r="B8" s="10" t="str">
        <x:v>C4</x:v>
      </x:c>
      <x:c r="C8" s="10" t="str">
        <x:v>Capacitor (value not supplied)</x:v>
      </x:c>
      <x:c r="D8" s="10" t="n">
        <x:v>1</x:v>
      </x:c>
      <x:c r="E8" s="10" t="str"/>
      <x:c r="F8" s="10" t="str">
        <x:v>No capacitance is given in the vendor BOM or schematic.</x:v>
      </x:c>
      <x:c r="G8" s="10" t="str">
        <x:v>5V boost-output filtering
Schematic page 1: boost supply</x:v>
      </x:c>
      <x:c r="H8" s="10" t="str">
        <x:v>Confirm MPN,case/height,voltage,tolerance,dielectric and ESR</x:v>
      </x:c>
      <x:c r="I8" s="10" t="str"/>
      <x:c r="J8" s="19" t="n">
        <x:v>0.0628831944662789</x:v>
      </x:c>
      <x:c r="K8" s="24" t="n">
        <x:f>IF(AND(ISNUMBER(J8),J8&gt;=0,ISNUMBER(D8),D8&gt;=0),J8*D8,"")</x:f>
        <x:v>0.0628831944662789</x:v>
      </x:c>
      <x:c r="L8" s="10" t="str">
        <x:v>Allowance</x:v>
      </x:c>
      <x:c r="M8" s="10" t="str">
        <x:v>vendor_BOM row 4;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8"/>
      <x:c r="O8"/>
    </x:row>
    <x:row r="9" ht="153" customHeight="1">
      <x:c r="A9" s="10" t="n">
        <x:v>5</x:v>
      </x:c>
      <x:c r="B9" s="10" t="str">
        <x:v>C5</x:v>
      </x:c>
      <x:c r="C9" s="10" t="str">
        <x:v>Capacitor (value not supplied)</x:v>
      </x:c>
      <x:c r="D9" s="10" t="n">
        <x:v>1</x:v>
      </x:c>
      <x:c r="E9" s="10" t="str"/>
      <x:c r="F9" s="10" t="str">
        <x:v>No capacitance is given in the vendor BOM or schematic.</x:v>
      </x:c>
      <x:c r="G9" s="10" t="str">
        <x:v>5V boost-output filtering
Schematic page 1: boost supply</x:v>
      </x:c>
      <x:c r="H9" s="10" t="str">
        <x:v>Confirm MPN,case/height,voltage,tolerance,dielectric and ESR</x:v>
      </x:c>
      <x:c r="I9" s="10" t="str"/>
      <x:c r="J9" s="19" t="n">
        <x:v>0.0628831944662789</x:v>
      </x:c>
      <x:c r="K9" s="24" t="n">
        <x:f>IF(AND(ISNUMBER(J9),J9&gt;=0,ISNUMBER(D9),D9&gt;=0),J9*D9,"")</x:f>
        <x:v>0.0628831944662789</x:v>
      </x:c>
      <x:c r="L9" s="10" t="str">
        <x:v>Allowance</x:v>
      </x:c>
      <x:c r="M9" s="10" t="str">
        <x:v>vendor_BOM row 5;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9"/>
      <x:c r="O9"/>
    </x:row>
    <x:row r="10" ht="153" customHeight="1">
      <x:c r="A10" s="10" t="n">
        <x:v>6</x:v>
      </x:c>
      <x:c r="B10" s="10" t="str">
        <x:v>C6</x:v>
      </x:c>
      <x:c r="C10" s="10" t="str">
        <x:v>Capacitor (value not supplied)</x:v>
      </x:c>
      <x:c r="D10" s="10" t="n">
        <x:v>1</x:v>
      </x:c>
      <x:c r="E10" s="10" t="str"/>
      <x:c r="F10" s="10" t="str">
        <x:v>No capacitance is given in the vendor BOM or schematic.</x:v>
      </x:c>
      <x:c r="G10" s="10" t="str">
        <x:v>USB/charger input decoupling
Schematic page 1: USB / charger input</x:v>
      </x:c>
      <x:c r="H10" s="10" t="str">
        <x:v>Confirm MPN,case/height,voltage,tolerance,dielectric and ESR</x:v>
      </x:c>
      <x:c r="I10" s="10" t="str"/>
      <x:c r="J10" s="19" t="n">
        <x:v>0.0628831944662789</x:v>
      </x:c>
      <x:c r="K10" s="24" t="n">
        <x:f>IF(AND(ISNUMBER(J10),J10&gt;=0,ISNUMBER(D10),D10&gt;=0),J10*D10,"")</x:f>
        <x:v>0.0628831944662789</x:v>
      </x:c>
      <x:c r="L10" s="10" t="str">
        <x:v>Allowance</x:v>
      </x:c>
      <x:c r="M10" s="10" t="str">
        <x:v>vendor_BOM row 6;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10"/>
      <x:c r="O10"/>
    </x:row>
    <x:row r="11" ht="153" customHeight="1">
      <x:c r="A11" s="10" t="n">
        <x:v>7</x:v>
      </x:c>
      <x:c r="B11" s="10" t="str">
        <x:v>C7</x:v>
      </x:c>
      <x:c r="C11" s="10" t="str">
        <x:v>Capacitor (value not supplied)</x:v>
      </x:c>
      <x:c r="D11" s="10" t="n">
        <x:v>1</x:v>
      </x:c>
      <x:c r="E11" s="10" t="str"/>
      <x:c r="F11" s="10" t="str">
        <x:v>No capacitance is given in the vendor BOM or schematic.</x:v>
      </x:c>
      <x:c r="G11" s="10" t="str">
        <x:v>Unidentified U3 supply decoupling
Schematic page 1: U3 power-control circuitry</x:v>
      </x:c>
      <x:c r="H11" s="10" t="str">
        <x:v>Confirm MPN,case/height,voltage,tolerance,dielectric and ESR</x:v>
      </x:c>
      <x:c r="I11" s="10" t="str"/>
      <x:c r="J11" s="19" t="n">
        <x:v>0.0628831944662789</x:v>
      </x:c>
      <x:c r="K11" s="24" t="n">
        <x:f>IF(AND(ISNUMBER(J11),J11&gt;=0,ISNUMBER(D11),D11&gt;=0),J11*D11,"")</x:f>
        <x:v>0.0628831944662789</x:v>
      </x:c>
      <x:c r="L11" s="10" t="str">
        <x:v>Allowance</x:v>
      </x:c>
      <x:c r="M11" s="10" t="str">
        <x:v>vendor_BOM row 7;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11"/>
      <x:c r="O11"/>
    </x:row>
    <x:row r="12" ht="153" customHeight="1">
      <x:c r="A12" s="10" t="n">
        <x:v>8</x:v>
      </x:c>
      <x:c r="B12" s="10" t="str">
        <x:v>C8</x:v>
      </x:c>
      <x:c r="C12" s="10" t="str">
        <x:v>Capacitor (value not supplied)</x:v>
      </x:c>
      <x:c r="D12" s="10" t="n">
        <x:v>1</x:v>
      </x:c>
      <x:c r="E12" s="10" t="str"/>
      <x:c r="F12" s="10" t="str">
        <x:v>No capacitance is given in the vendor BOM or schematic.</x:v>
      </x:c>
      <x:c r="G12" s="10" t="str">
        <x:v>Battery BAT-node decoupling
Schematic page 1: battery / charger</x:v>
      </x:c>
      <x:c r="H12" s="10" t="str">
        <x:v>Confirm MPN,case/height,voltage,tolerance,dielectric and ESR</x:v>
      </x:c>
      <x:c r="I12" s="10" t="str"/>
      <x:c r="J12" s="19" t="n">
        <x:v>0.0628831944662789</x:v>
      </x:c>
      <x:c r="K12" s="24" t="n">
        <x:f>IF(AND(ISNUMBER(J12),J12&gt;=0,ISNUMBER(D12),D12&gt;=0),J12*D12,"")</x:f>
        <x:v>0.0628831944662789</x:v>
      </x:c>
      <x:c r="L12" s="10" t="str">
        <x:v>Allowance</x:v>
      </x:c>
      <x:c r="M12" s="10" t="str">
        <x:v>vendor_BOM row 8;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12"/>
      <x:c r="O12"/>
    </x:row>
    <x:row r="13" ht="153" customHeight="1">
      <x:c r="A13" s="10" t="n">
        <x:v>9</x:v>
      </x:c>
      <x:c r="B13" s="10" t="str">
        <x:v>C9</x:v>
      </x:c>
      <x:c r="C13" s="10" t="str">
        <x:v>Capacitor (value not supplied)</x:v>
      </x:c>
      <x:c r="D13" s="10" t="n">
        <x:v>1</x:v>
      </x:c>
      <x:c r="E13" s="10" t="str"/>
      <x:c r="F13" s="10" t="str">
        <x:v>No capacitance is given in the vendor BOM or schematic.</x:v>
      </x:c>
      <x:c r="G13" s="10" t="str">
        <x:v>U3 P2 divider-node filtering
Schematic page 1: U3 power-control circuitry</x:v>
      </x:c>
      <x:c r="H13" s="10" t="str">
        <x:v>Confirm MPN,case/height,voltage,tolerance,dielectric and ESR</x:v>
      </x:c>
      <x:c r="I13" s="10" t="str"/>
      <x:c r="J13" s="19" t="n">
        <x:v>0.0628831944662789</x:v>
      </x:c>
      <x:c r="K13" s="24" t="n">
        <x:f>IF(AND(ISNUMBER(J13),J13&gt;=0,ISNUMBER(D13),D13&gt;=0),J13*D13,"")</x:f>
        <x:v>0.0628831944662789</x:v>
      </x:c>
      <x:c r="L13" s="10" t="str">
        <x:v>Allowance</x:v>
      </x:c>
      <x:c r="M13" s="10" t="str">
        <x:v>vendor_BOM row 9;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13"/>
      <x:c r="O13"/>
    </x:row>
    <x:row r="14" ht="153" customHeight="1">
      <x:c r="A14" s="10" t="n">
        <x:v>10</x:v>
      </x:c>
      <x:c r="B14" s="10" t="str">
        <x:v>C10</x:v>
      </x:c>
      <x:c r="C14" s="10" t="str">
        <x:v>Capacitor (value not supplied)</x:v>
      </x:c>
      <x:c r="D14" s="10" t="n">
        <x:v>1</x:v>
      </x:c>
      <x:c r="E14" s="10" t="str"/>
      <x:c r="F14" s="10" t="str">
        <x:v>No capacitance is given in the vendor BOM or schematic.</x:v>
      </x:c>
      <x:c r="G14" s="10" t="str">
        <x:v>U3 P6-to-ground; exact function unknown
Schematic page 1: U3 power-control circuitry</x:v>
      </x:c>
      <x:c r="H14" s="10" t="str">
        <x:v>Confirm MPN,case/height,voltage,tolerance,dielectric and ESR</x:v>
      </x:c>
      <x:c r="I14" s="10" t="str"/>
      <x:c r="J14" s="19" t="n">
        <x:v>0.0628831944662789</x:v>
      </x:c>
      <x:c r="K14" s="24" t="n">
        <x:f>IF(AND(ISNUMBER(J14),J14&gt;=0,ISNUMBER(D14),D14&gt;=0),J14*D14,"")</x:f>
        <x:v>0.0628831944662789</x:v>
      </x:c>
      <x:c r="L14" s="10" t="str">
        <x:v>Allowance</x:v>
      </x:c>
      <x:c r="M14" s="10" t="str">
        <x:v>vendor_BOM row 10;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14"/>
      <x:c r="O14"/>
    </x:row>
    <x:row r="15" ht="153" customHeight="1">
      <x:c r="A15" s="10" t="n">
        <x:v>11</x:v>
      </x:c>
      <x:c r="B15" s="10" t="str">
        <x:v>C11</x:v>
      </x:c>
      <x:c r="C15" s="10" t="str">
        <x:v>Capacitor (value not supplied)</x:v>
      </x:c>
      <x:c r="D15" s="10" t="n">
        <x:v>1</x:v>
      </x:c>
      <x:c r="E15" s="10" t="str"/>
      <x:c r="F15" s="10" t="str">
        <x:v>No capacitance is given in the vendor BOM or schematic.</x:v>
      </x:c>
      <x:c r="G15" s="10" t="str">
        <x:v>U3 P4-to-ground; exact function unknown
Schematic page 1: U3 power-control circuitry</x:v>
      </x:c>
      <x:c r="H15" s="10" t="str">
        <x:v>Confirm MPN,case/height,voltage,tolerance,dielectric and ESR</x:v>
      </x:c>
      <x:c r="I15" s="10" t="str"/>
      <x:c r="J15" s="19" t="n">
        <x:v>0.0628831944662789</x:v>
      </x:c>
      <x:c r="K15" s="24" t="n">
        <x:f>IF(AND(ISNUMBER(J15),J15&gt;=0,ISNUMBER(D15),D15&gt;=0),J15*D15,"")</x:f>
        <x:v>0.0628831944662789</x:v>
      </x:c>
      <x:c r="L15" s="10" t="str">
        <x:v>Allowance</x:v>
      </x:c>
      <x:c r="M15" s="10" t="str">
        <x:v>vendor_BOM row 11;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15"/>
      <x:c r="O15"/>
    </x:row>
    <x:row r="16" ht="153" customHeight="1">
      <x:c r="A16" s="10" t="n">
        <x:v>12</x:v>
      </x:c>
      <x:c r="B16" s="10" t="str">
        <x:v>C12</x:v>
      </x:c>
      <x:c r="C16" s="10" t="str">
        <x:v>47 µF capacitor</x:v>
      </x:c>
      <x:c r="D16" s="10" t="n">
        <x:v>1</x:v>
      </x:c>
      <x:c r="E16" s="10" t="str">
        <x:v>47uF</x:v>
      </x:c>
      <x:c r="F16" s="10" t="str">
        <x:v>Vendor nominal capacitance: 47uF.</x:v>
      </x:c>
      <x:c r="G16" s="10" t="str">
        <x:v>Local LED 5V bulk capacitance
Schematic page 2: LEDs</x:v>
      </x:c>
      <x:c r="H16" s="10" t="str">
        <x:v>Confirm MPN,case/height,voltage,tolerance,dielectric and ESR</x:v>
      </x:c>
      <x:c r="I16" s="10" t="str"/>
      <x:c r="J16" s="19" t="n">
        <x:v>0.47162395849709166</x:v>
      </x:c>
      <x:c r="K16" s="24" t="n">
        <x:f>IF(AND(ISNUMBER(J16),J16&gt;=0,ISNUMBER(D16),D16&gt;=0),J16*D16,"")</x:f>
        <x:v>0.47162395849709166</x:v>
      </x:c>
      <x:c r="L16" s="10" t="str">
        <x:v>Allowance</x:v>
      </x:c>
      <x:c r="M16" s="10" t="str">
        <x:v>vendor_BOM row 12; schematic
Original unit input: NTD 15.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16"/>
      <x:c r="O16"/>
    </x:row>
    <x:row r="17" ht="153" customHeight="1">
      <x:c r="A17" s="10" t="n">
        <x:v>13</x:v>
      </x:c>
      <x:c r="B17" s="10" t="str">
        <x:v>C13,C18</x:v>
      </x:c>
      <x:c r="C17" s="10" t="str">
        <x:v>22 µF capacitor</x:v>
      </x:c>
      <x:c r="D17" s="10" t="n">
        <x:v>2</x:v>
      </x:c>
      <x:c r="E17" s="10" t="str">
        <x:v>22uF</x:v>
      </x:c>
      <x:c r="F17" s="10" t="str">
        <x:v>Vendor nominal capacitance: 22uF.</x:v>
      </x:c>
      <x:c r="G17" s="10" t="str">
        <x:v>C13: ESP32 decoupling; C18: digital LDO output
Schematic page 2: ESP32；Schematic page 2: 3V3 LDO</x:v>
      </x:c>
      <x:c r="H17" s="10" t="str">
        <x:v>Confirm MPN,case/height,voltage,tolerance,dielectric and ESR</x:v>
      </x:c>
      <x:c r="I17" s="10" t="str"/>
      <x:c r="J17" s="19" t="n">
        <x:v>0.2515327778651156</x:v>
      </x:c>
      <x:c r="K17" s="24" t="n">
        <x:f>IF(AND(ISNUMBER(J17),J17&gt;=0,ISNUMBER(D17),D17&gt;=0),J17*D17,"")</x:f>
        <x:v>0.5030655557302312</x:v>
      </x:c>
      <x:c r="L17" s="10" t="str">
        <x:v>Allowance</x:v>
      </x:c>
      <x:c r="M17" s="10" t="str">
        <x:v>vendor_BOM row 13; schematic
Original unit input: NTD 8.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17"/>
      <x:c r="O17"/>
    </x:row>
    <x:row r="18" ht="153" customHeight="1">
      <x:c r="A18" s="10" t="n">
        <x:v>14</x:v>
      </x:c>
      <x:c r="B18" s="10" t="str">
        <x:v>C14,C15,C22,C25</x:v>
      </x:c>
      <x:c r="C18" s="10" t="str">
        <x:v>0.1 µF capacitor</x:v>
      </x:c>
      <x:c r="D18" s="10" t="n">
        <x:v>4</x:v>
      </x:c>
      <x:c r="E18" s="10" t="str">
        <x:v>0.1uF</x:v>
      </x:c>
      <x:c r="F18" s="10" t="str">
        <x:v>Vendor nominal capacitance: 0.1uF.</x:v>
      </x:c>
      <x:c r="G18" s="10" t="str">
        <x:v>ESP32/reset/reference/TIA decoupling; see per-reference map
Schematic page 2: ESP32；Schematic page 2: ESP32 reset；Schematic page 2: 2V5_REF；Schematic page 2: TIA supply</x:v>
      </x:c>
      <x:c r="H18" s="10" t="str">
        <x:v>Confirm MPN,case/height,voltage,tolerance,dielectric and ESR</x:v>
      </x:c>
      <x:c r="I18" s="10" t="str"/>
      <x:c r="J18" s="19" t="n">
        <x:v>0.0628831944662789</x:v>
      </x:c>
      <x:c r="K18" s="24" t="n">
        <x:f>IF(AND(ISNUMBER(J18),J18&gt;=0,ISNUMBER(D18),D18&gt;=0),J18*D18,"")</x:f>
        <x:v>0.2515327778651156</x:v>
      </x:c>
      <x:c r="L18" s="10" t="str">
        <x:v>Allowance</x:v>
      </x:c>
      <x:c r="M18" s="10" t="str">
        <x:v>vendor_BOM row 14;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18"/>
      <x:c r="O18"/>
    </x:row>
    <x:row r="19" ht="153" customHeight="1">
      <x:c r="A19" s="10" t="n">
        <x:v>15</x:v>
      </x:c>
      <x:c r="B19" s="10" t="str">
        <x:v>C16,C17,C23,C28</x:v>
      </x:c>
      <x:c r="C19" s="10" t="str">
        <x:v>10 µF capacitor</x:v>
      </x:c>
      <x:c r="D19" s="10" t="n">
        <x:v>4</x:v>
      </x:c>
      <x:c r="E19" s="10" t="str">
        <x:v>10uF</x:v>
      </x:c>
      <x:c r="F19" s="10" t="str">
        <x:v>Vendor nominal capacitance: 10uF.</x:v>
      </x:c>
      <x:c r="G19" s="10" t="str">
        <x:v>Reset/LDO/reference/ADC bypass; see per-reference map
Schematic page 2: ESP32 reset；Schematic page 2: 3V3 LDO；Schematic page 2: 2V5_REF；Schematic page 2: ADC reference</x:v>
      </x:c>
      <x:c r="H19" s="10" t="str">
        <x:v>Confirm MPN,case/height,voltage,tolerance,dielectric and ESR</x:v>
      </x:c>
      <x:c r="I19" s="10" t="str"/>
      <x:c r="J19" s="19" t="n">
        <x:v>0.2515327778651156</x:v>
      </x:c>
      <x:c r="K19" s="24" t="n">
        <x:f>IF(AND(ISNUMBER(J19),J19&gt;=0,ISNUMBER(D19),D19&gt;=0),J19*D19,"")</x:f>
        <x:v>1.0061311114604623</x:v>
      </x:c>
      <x:c r="L19" s="10" t="str">
        <x:v>Allowance</x:v>
      </x:c>
      <x:c r="M19" s="10" t="str">
        <x:v>vendor_BOM row 15; schematic
Original unit input: NTD 8.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19"/>
      <x:c r="O19"/>
    </x:row>
    <x:row r="20" ht="153" customHeight="1">
      <x:c r="A20" s="10" t="n">
        <x:v>16</x:v>
      </x:c>
      <x:c r="B20" s="10" t="str">
        <x:v>C19,C20,C27,C29</x:v>
      </x:c>
      <x:c r="C20" s="10" t="str">
        <x:v>1 µF capacitor</x:v>
      </x:c>
      <x:c r="D20" s="10" t="n">
        <x:v>4</x:v>
      </x:c>
      <x:c r="E20" s="10" t="str">
        <x:v>1uF</x:v>
      </x:c>
      <x:c r="F20" s="10" t="str">
        <x:v>Vendor nominal capacitance: 1uF.</x:v>
      </x:c>
      <x:c r="G20" s="10" t="str">
        <x:v>Analog-LDO input/output and ADC-supply decoupling
Schematic page 2: 3V3 LDO；Schematic page 2: ADC</x:v>
      </x:c>
      <x:c r="H20" s="10" t="str">
        <x:v>Confirm MPN,case/height,voltage,tolerance,dielectric and ESR</x:v>
      </x:c>
      <x:c r="I20" s="10" t="str"/>
      <x:c r="J20" s="19" t="n">
        <x:v>0.0628831944662789</x:v>
      </x:c>
      <x:c r="K20" s="24" t="n">
        <x:f>IF(AND(ISNUMBER(J20),J20&gt;=0,ISNUMBER(D20),D20&gt;=0),J20*D20,"")</x:f>
        <x:v>0.2515327778651156</x:v>
      </x:c>
      <x:c r="L20" s="10" t="str">
        <x:v>Allowance</x:v>
      </x:c>
      <x:c r="M20" s="10" t="str">
        <x:v>vendor_BOM row 16;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20"/>
      <x:c r="O20"/>
    </x:row>
    <x:row r="21" ht="153" customHeight="1">
      <x:c r="A21" s="10" t="n">
        <x:v>17</x:v>
      </x:c>
      <x:c r="B21" s="10" t="str">
        <x:v>C21</x:v>
      </x:c>
      <x:c r="C21" s="10" t="str">
        <x:v>2.2 pF capacitor</x:v>
      </x:c>
      <x:c r="D21" s="10" t="n">
        <x:v>1</x:v>
      </x:c>
      <x:c r="E21" s="10" t="str">
        <x:v>2.2pF</x:v>
      </x:c>
      <x:c r="F21" s="10" t="str">
        <x:v>Vendor nominal capacitance: 2.2pF.</x:v>
      </x:c>
      <x:c r="G21" s="10" t="str">
        <x:v>TIA feedback compensation/bandwidth
Schematic page 2: TIA</x:v>
      </x:c>
      <x:c r="H21" s="10" t="str">
        <x:v>Confirm MPN/package,dielectric/leakage and parasitic capacitance</x:v>
      </x:c>
      <x:c r="I21" s="10" t="str"/>
      <x:c r="J21" s="19" t="n">
        <x:v>0.0628831944662789</x:v>
      </x:c>
      <x:c r="K21" s="24" t="n">
        <x:f>IF(AND(ISNUMBER(J21),J21&gt;=0,ISNUMBER(D21),D21&gt;=0),J21*D21,"")</x:f>
        <x:v>0.0628831944662789</x:v>
      </x:c>
      <x:c r="L21" s="10" t="str">
        <x:v>Allowance</x:v>
      </x:c>
      <x:c r="M21" s="10" t="str">
        <x:v>vendor_BOM row 17;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21"/>
      <x:c r="O21"/>
    </x:row>
    <x:row r="22" ht="153" customHeight="1">
      <x:c r="A22" s="10" t="n">
        <x:v>18</x:v>
      </x:c>
      <x:c r="B22" s="10" t="str">
        <x:v>C24</x:v>
      </x:c>
      <x:c r="C22" s="10" t="str">
        <x:v>1000 pF capacitor</x:v>
      </x:c>
      <x:c r="D22" s="10" t="n">
        <x:v>1</x:v>
      </x:c>
      <x:c r="E22" s="10" t="str">
        <x:v>1000pF</x:v>
      </x:c>
      <x:c r="F22" s="10" t="str">
        <x:v>Vendor nominal capacitance: 1000pF.</x:v>
      </x:c>
      <x:c r="G22" s="10" t="str">
        <x:v>Filtering across ADC AINP/AINN
Schematic page 2: TIA / ADC</x:v>
      </x:c>
      <x:c r="H22" s="10" t="str">
        <x:v>Confirm MPN,case/height,voltage,tolerance,dielectric and ESR</x:v>
      </x:c>
      <x:c r="I22" s="10" t="str"/>
      <x:c r="J22" s="19" t="n">
        <x:v>0.0628831944662789</x:v>
      </x:c>
      <x:c r="K22" s="24" t="n">
        <x:f>IF(AND(ISNUMBER(J22),J22&gt;=0,ISNUMBER(D22),D22&gt;=0),J22*D22,"")</x:f>
        <x:v>0.0628831944662789</x:v>
      </x:c>
      <x:c r="L22" s="10" t="str">
        <x:v>Allowance</x:v>
      </x:c>
      <x:c r="M22" s="10" t="str">
        <x:v>vendor_BOM row 18;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22"/>
      <x:c r="O22"/>
    </x:row>
    <x:row r="23" ht="153" customHeight="1">
      <x:c r="A23" s="10" t="n">
        <x:v>19</x:v>
      </x:c>
      <x:c r="B23" s="10" t="str">
        <x:v>C26</x:v>
      </x:c>
      <x:c r="C23" s="10" t="str">
        <x:v>100 µF capacitor</x:v>
      </x:c>
      <x:c r="D23" s="10" t="n">
        <x:v>1</x:v>
      </x:c>
      <x:c r="E23" s="10" t="str">
        <x:v>100uF</x:v>
      </x:c>
      <x:c r="F23" s="10" t="str">
        <x:v>Vendor nominal capacitance: 100uF.</x:v>
      </x:c>
      <x:c r="G23" s="10" t="str">
        <x:v>TIA local-supply bulk capacitance/filtering
Schematic page 2: TIA supply</x:v>
      </x:c>
      <x:c r="H23" s="10" t="str">
        <x:v>Confirm MPN,case/height,voltage,tolerance,dielectric and ESR</x:v>
      </x:c>
      <x:c r="I23" s="10" t="str"/>
      <x:c r="J23" s="19" t="n">
        <x:v>0.47162395849709166</x:v>
      </x:c>
      <x:c r="K23" s="24" t="n">
        <x:f>IF(AND(ISNUMBER(J23),J23&gt;=0,ISNUMBER(D23),D23&gt;=0),J23*D23,"")</x:f>
        <x:v>0.47162395849709166</x:v>
      </x:c>
      <x:c r="L23" s="10" t="str">
        <x:v>Allowance</x:v>
      </x:c>
      <x:c r="M23" s="10" t="str">
        <x:v>vendor_BOM row 19; schematic
Original unit input: NTD 15.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23"/>
      <x:c r="O23"/>
    </x:row>
    <x:row r="24" ht="153" customHeight="1">
      <x:c r="A24" s="10" t="n">
        <x:v>20</x:v>
      </x:c>
      <x:c r="B24" s="10" t="str">
        <x:v>DPS1,DPS2</x:v>
      </x:c>
      <x:c r="C24" s="10" t="str">
        <x:v>Status indicator LED</x:v>
      </x:c>
      <x:c r="D24" s="10" t="n">
        <x:v>2</x:v>
      </x:c>
      <x:c r="E24" s="10" t="str">
        <x:v>LED</x:v>
      </x:c>
      <x:c r="F24" s="10" t="str">
        <x:v>Two LEDs; color/model unspecified</x:v>
      </x:c>
      <x:c r="G24" s="10" t="str">
        <x:v>DPS1: power-good; DPS2: charging status
Schematic page 1: charger</x:v>
      </x:c>
      <x:c r="H24" s="10" t="str">
        <x:v>Confirm MPN,color,package/height,current and brightness</x:v>
      </x:c>
      <x:c r="I24" s="10" t="str"/>
      <x:c r="J24" s="19" t="n">
        <x:v>0.0628831944662789</x:v>
      </x:c>
      <x:c r="K24" s="24" t="n">
        <x:f>IF(AND(ISNUMBER(J24),J24&gt;=0,ISNUMBER(D24),D24&gt;=0),J24*D24,"")</x:f>
        <x:v>0.1257663889325578</x:v>
      </x:c>
      <x:c r="L24" s="10" t="str">
        <x:v>Allowance</x:v>
      </x:c>
      <x:c r="M24" s="10" t="str">
        <x:v>vendor_BOM row 20; schematic
Original unit input: NTD 2.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24"/>
      <x:c r="O24"/>
    </x:row>
    <x:row r="25" ht="93" customHeight="1">
      <x:c r="A25" s="10" t="n">
        <x:v>21</x:v>
      </x:c>
      <x:c r="B25" s="10" t="str">
        <x:v>D1,D2,D3,D4</x:v>
      </x:c>
      <x:c r="C25" s="10" t="str">
        <x:v>Side-view blue LED</x:v>
      </x:c>
      <x:c r="D25" s="10" t="n">
        <x:v>4</x:v>
      </x:c>
      <x:c r="E25" s="10" t="str">
        <x:v>155124BS73200</x:v>
      </x:c>
      <x:c r="F25" s="10" t="str">
        <x:v>155124BS73200; 1204 side-view; at 20mA, typical peak468nm/dominant470nm</x:v>
      </x:c>
      <x:c r="G25" s="10" t="str">
        <x:v>Four-channel modulated blue excitation
Schematic page 2: LEDs; PCB optical region</x:v>
      </x:c>
      <x:c r="H25" s="10" t="str">
        <x:v>Verify orientation/height,optical axis,actual current and optical power</x:v>
      </x:c>
      <x:c r="I25" s="10" t="str"/>
      <x:c r="J25" s="19" t="n">
        <x:v>0.5345071529633706</x:v>
      </x:c>
      <x:c r="K25" s="24" t="n">
        <x:f>IF(AND(ISNUMBER(J25),J25&gt;=0,ISNUMBER(D25),D25&gt;=0),J25*D25,"")</x:f>
        <x:v>2.1380286118534824</x:v>
      </x:c>
      <x:c r="L25" s="10" t="str">
        <x:v>Listed</x:v>
      </x:c>
      <x:c r="M25" s="10" t="str">
        <x:v>vendor_BOM row 21; schematic; WURTH_LED
Original unit input: NTD 17. Converted at 31.805 NTD/USD.
NTD 17 each at quantity 1.
https://www.digikey.tw/en/products/detail/w%C3%BCrth-elektronik/155124BS73200/4490035</x:v>
      </x:c>
      <x:c r="N25"/>
      <x:c r="O25"/>
    </x:row>
    <x:row r="26" ht="93" customHeight="1">
      <x:c r="A26" s="10" t="n">
        <x:v>22</x:v>
      </x:c>
      <x:c r="B26" s="10" t="str">
        <x:v>D5</x:v>
      </x:c>
      <x:c r="C26" s="10" t="str">
        <x:v>Silicon PIN photodiode</x:v>
      </x:c>
      <x:c r="D26" s="10" t="n">
        <x:v>1</x:v>
      </x:c>
      <x:c r="E26" s="10" t="str">
        <x:v>VEMD5060X01</x:v>
      </x:c>
      <x:c r="F26" s="10" t="str">
        <x:v>VEMD5060X01; top-view SMD5×4×0.9mm; active area7.5mm²</x:v>
      </x:c>
      <x:c r="G26" s="10" t="str">
        <x:v>Shared four-well fluorescence/background reception
Schematic page 2: PhotoDiod / TIA; PCB optical region</x:v>
      </x:c>
      <x:c r="H26" s="10" t="str">
        <x:v>Verify offset active area,assembled height and filter obscuration</x:v>
      </x:c>
      <x:c r="I26" s="10" t="str"/>
      <x:c r="J26" s="19" t="n">
        <x:v>2.1380286118534824</x:v>
      </x:c>
      <x:c r="K26" s="24" t="n">
        <x:f>IF(AND(ISNUMBER(J26),J26&gt;=0,ISNUMBER(D26),D26&gt;=0),J26*D26,"")</x:f>
        <x:v>2.1380286118534824</x:v>
      </x:c>
      <x:c r="L26" s="10" t="str">
        <x:v>Listed</x:v>
      </x:c>
      <x:c r="M26" s="10" t="str">
        <x:v>vendor_BOM row 22; schematic; VISHAY_PD
Original unit input: NTD 68. Converted at 31.805 NTD/USD.
NTD 68 each at quantity 1.
https://www.digikey.tw/en/products/detail/vishay-semiconductor-opto-division/VEMD5060X01/5879084</x:v>
      </x:c>
      <x:c r="N26"/>
      <x:c r="O26"/>
    </x:row>
    <x:row r="27" ht="153" customHeight="1">
      <x:c r="A27" s="10" t="n">
        <x:v>23</x:v>
      </x:c>
      <x:c r="B27" s="10" t="str">
        <x:v>FD1,FD2,FD3,FD4,FD5,FD6,FD7,FD8</x:v>
      </x:c>
      <x:c r="C27" s="10" t="str">
        <x:v>SMT fiducials (PCB features)</x:v>
      </x:c>
      <x:c r="D27" s="10" t="n">
        <x:v>8</x:v>
      </x:c>
      <x:c r="E27" s="10" t="str">
        <x:v>FD_040 (SMT optical fiducial)</x:v>
      </x:c>
      <x:c r="F27" s="10" t="str">
        <x:v>FD_040; eight PCB fiducials</x:v>
      </x:c>
      <x:c r="G27" s="10" t="str">
        <x:v>SMT vision alignment; no separate purchase
Schematic page 1: FD1–FD8; PCB fabrication features</x:v>
      </x:c>
      <x:c r="H27" s="10" t="str">
        <x:v>Geometry/mask opening from fabrication data;not separately purchased</x:v>
      </x:c>
      <x:c r="I27" s="10" t="str"/>
      <x:c r="J27" s="19" t="n">
        <x:v>0</x:v>
      </x:c>
      <x:c r="K27" s="24" t="n">
        <x:f>IF(AND(ISNUMBER(J27),J27&gt;=0,ISNUMBER(D27),D27&gt;=0),J27*D27,"")</x:f>
        <x:v>0</x:v>
      </x:c>
      <x:c r="L27" s="10" t="str">
        <x:v>Fabrication feature</x:v>
      </x:c>
      <x:c r="M27" s="10" t="str">
        <x:v>vendor_BOM row 23; schematic
Original unit input: NTD 0.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27"/>
      <x:c r="O27"/>
    </x:row>
    <x:row r="28" ht="153" customHeight="1">
      <x:c r="A28" s="10" t="n">
        <x:v>24</x:v>
      </x:c>
      <x:c r="B28" s="10" t="str">
        <x:v>H1,H2,H3,H4</x:v>
      </x:c>
      <x:c r="C28" s="10" t="str">
        <x:v>PCB mounting holes</x:v>
      </x:c>
      <x:c r="D28" s="10" t="n">
        <x:v>4</x:v>
      </x:c>
      <x:c r="E28" s="10" t="str">
        <x:v>CON (standoff hole)</x:v>
      </x:c>
      <x:c r="F28" s="10" t="str">
        <x:v>H1–H4; vendor-designated standoff holes</x:v>
      </x:c>
      <x:c r="G28" s="10" t="str">
        <x:v>PCB mounting holes; no separate purchase
Schematic page 1: H1–H4; PCB mounting</x:v>
      </x:c>
      <x:c r="H28" s="10" t="str">
        <x:v>Confirm hole/plating/copper keepout;do not double-count screws</x:v>
      </x:c>
      <x:c r="I28" s="10" t="str"/>
      <x:c r="J28" s="19" t="n">
        <x:v>0</x:v>
      </x:c>
      <x:c r="K28" s="24" t="n">
        <x:f>IF(AND(ISNUMBER(J28),J28&gt;=0,ISNUMBER(D28),D28&gt;=0),J28*D28,"")</x:f>
        <x:v>0</x:v>
      </x:c>
      <x:c r="L28" s="10" t="str">
        <x:v>Fabrication feature</x:v>
      </x:c>
      <x:c r="M28" s="10" t="str">
        <x:v>vendor_BOM row 24; schematic
Original unit input: NTD 0.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28"/>
      <x:c r="O28"/>
    </x:row>
    <x:row r="29" ht="153" customHeight="1">
      <x:c r="A29" s="10" t="n">
        <x:v>25</x:v>
      </x:c>
      <x:c r="B29" s="10" t="str">
        <x:v>J1</x:v>
      </x:c>
      <x:c r="C29" s="10" t="str">
        <x:v>Battery holder / two-terminal battery connection</x:v>
      </x:c>
      <x:c r="D29" s="10" t="n">
        <x:v>1</x:v>
      </x:c>
      <x:c r="E29" s="10" t="str">
        <x:v>Battery_Case</x:v>
      </x:c>
      <x:c r="F29" s="10" t="str">
        <x:v>Battery_Case; pin1=BAT, pin2=GND; physical model unspecified</x:v>
      </x:c>
      <x:c r="G29" s="10" t="str">
        <x:v>Battery connection to charger BAT/GND
Schematic page 1: J1 / battery</x:v>
      </x:c>
      <x:c r="H29" s="10" t="str">
        <x:v>Confirm MPN,cell size/protection,polarity/height and charger settings</x:v>
      </x:c>
      <x:c r="I29" s="10" t="str"/>
      <x:c r="J29" s="19" t="n">
        <x:v>0.9432479169941833</x:v>
      </x:c>
      <x:c r="K29" s="24" t="n">
        <x:f>IF(AND(ISNUMBER(J29),J29&gt;=0,ISNUMBER(D29),D29&gt;=0),J29*D29,"")</x:f>
        <x:v>0.9432479169941833</x:v>
      </x:c>
      <x:c r="L29" s="10" t="str">
        <x:v>Allowance</x:v>
      </x:c>
      <x:c r="M29" s="10" t="str">
        <x:v>vendor_BOM row 25; schematic; TI_BQ24074
Original unit input: NTD 30.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29"/>
      <x:c r="O29"/>
    </x:row>
    <x:row r="30" ht="153" customHeight="1">
      <x:c r="A30" s="10" t="n">
        <x:v>26</x:v>
      </x:c>
      <x:c r="B30" s="10" t="str">
        <x:v>J2</x:v>
      </x:c>
      <x:c r="C30" s="10" t="str">
        <x:v>USB Type-C receptacle</x:v>
      </x:c>
      <x:c r="D30" s="10" t="n">
        <x:v>1</x:v>
      </x:c>
      <x:c r="E30" s="10" t="str">
        <x:v>USB TYPE C FEMALE</x:v>
      </x:c>
      <x:c r="F30" s="10" t="str">
        <x:v>Type-C receptacle; VBUS=5V_USB; D+/D− unconnected</x:v>
      </x:c>
      <x:c r="G30" s="10" t="str">
        <x:v>USB power/charging; no USB data connection
Schematic page 1: J2 / USB</x:v>
      </x:c>
      <x:c r="H30" s="10" t="str">
        <x:v>Confirm MPN,opening/height/ratings and CC resistors</x:v>
      </x:c>
      <x:c r="I30" s="10" t="str"/>
      <x:c r="J30" s="19" t="n">
        <x:v>0.6288319446627889</x:v>
      </x:c>
      <x:c r="K30" s="24" t="n">
        <x:f>IF(AND(ISNUMBER(J30),J30&gt;=0,ISNUMBER(D30),D30&gt;=0),J30*D30,"")</x:f>
        <x:v>0.6288319446627889</x:v>
      </x:c>
      <x:c r="L30" s="10" t="str">
        <x:v>Allowance</x:v>
      </x:c>
      <x:c r="M30" s="10" t="str">
        <x:v>vendor_BOM row 26; schematic
Original unit input: NTD 20.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30"/>
      <x:c r="O30"/>
    </x:row>
    <x:row r="31" ht="153" customHeight="1">
      <x:c r="A31" s="10" t="n">
        <x:v>27</x:v>
      </x:c>
      <x:c r="B31" s="10" t="str">
        <x:v>J3</x:v>
      </x:c>
      <x:c r="C31" s="10" t="str">
        <x:v>Four-pin UART header</x:v>
      </x:c>
      <x:c r="D31" s="10" t="n">
        <x:v>1</x:v>
      </x:c>
      <x:c r="E31" s="10" t="str">
        <x:v>CON4 (4-pin header)</x:v>
      </x:c>
      <x:c r="F31" s="10" t="str">
        <x:v>4pins:1=3V3_DIG, 2=TXD0, 3=RXD0, 4=GND</x:v>
      </x:c>
      <x:c r="G31" s="10" t="str">
        <x:v>ESP32 3.3V UART programming/debug
Schematic page 2: ESP32 / J3</x:v>
      </x:c>
      <x:c r="H31" s="10" t="str">
        <x:v>Confirm MPN,pitch/height/orientation and mating cable</x:v>
      </x:c>
      <x:c r="I31" s="10" t="str"/>
      <x:c r="J31" s="19" t="n">
        <x:v>0.15720798616569723</x:v>
      </x:c>
      <x:c r="K31" s="24" t="n">
        <x:f>IF(AND(ISNUMBER(J31),J31&gt;=0,ISNUMBER(D31),D31&gt;=0),J31*D31,"")</x:f>
        <x:v>0.15720798616569723</x:v>
      </x:c>
      <x:c r="L31" s="10" t="str">
        <x:v>Allowance</x:v>
      </x:c>
      <x:c r="M31" s="10" t="str">
        <x:v>vendor_BOM row 27; schematic
Original unit input: NTD 5.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31"/>
      <x:c r="O31"/>
    </x:row>
    <x:row r="32" ht="153" customHeight="1">
      <x:c r="A32" s="10" t="n">
        <x:v>28</x:v>
      </x:c>
      <x:c r="B32" s="10" t="str">
        <x:v>L1</x:v>
      </x:c>
      <x:c r="C32" s="10" t="str">
        <x:v>Boost power inductor</x:v>
      </x:c>
      <x:c r="D32" s="10" t="n">
        <x:v>1</x:v>
      </x:c>
      <x:c r="E32" s="10" t="str"/>
      <x:c r="F32" s="10" t="str">
        <x:v>L1; inductance and model unspecified</x:v>
      </x:c>
      <x:c r="G32" s="10" t="str">
        <x:v>TPS61023 boost energy storage
Schematic page 1: boost supply</x:v>
      </x:c>
      <x:c r="H32" s="10" t="str">
        <x:v>Confirm inductance,current,DCR,package/height and MPN</x:v>
      </x:c>
      <x:c r="I32" s="10" t="str"/>
      <x:c r="J32" s="19" t="n">
        <x:v>0.31441597233139446</x:v>
      </x:c>
      <x:c r="K32" s="24" t="n">
        <x:f>IF(AND(ISNUMBER(J32),J32&gt;=0,ISNUMBER(D32),D32&gt;=0),J32*D32,"")</x:f>
        <x:v>0.31441597233139446</x:v>
      </x:c>
      <x:c r="L32" s="10" t="str">
        <x:v>Allowance</x:v>
      </x:c>
      <x:c r="M32" s="10" t="str">
        <x:v>vendor_BOM row 28; schematic; TI_TPS61023
Original unit input: NTD 10.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32"/>
      <x:c r="O32"/>
    </x:row>
    <x:row r="33" ht="153" customHeight="1">
      <x:c r="A33" s="10" t="n">
        <x:v>29</x:v>
      </x:c>
      <x:c r="B33" s="10" t="str">
        <x:v>Q1,Q2,Q3,Q4</x:v>
      </x:c>
      <x:c r="C33" s="10" t="str">
        <x:v>N-channel power MOSFET</x:v>
      </x:c>
      <x:c r="D33" s="10" t="n">
        <x:v>4</x:v>
      </x:c>
      <x:c r="E33" s="10" t="str">
        <x:v>AO3400A</x:v>
      </x:c>
      <x:c r="F33" s="10" t="str">
        <x:v>AO3400A; 30V N-MOSFET; SOT-23</x:v>
      </x:c>
      <x:c r="G33" s="10" t="str">
        <x:v>Four LED low-side PWM switches
Schematic page 2: LEDs</x:v>
      </x:c>
      <x:c r="H33" s="10" t="str">
        <x:v>Verify package pinout,actual current and temperature rise</x:v>
      </x:c>
      <x:c r="I33" s="10" t="str"/>
      <x:c r="J33" s="19" t="n">
        <x:v>0.15720798616569723</x:v>
      </x:c>
      <x:c r="K33" s="24" t="n">
        <x:f>IF(AND(ISNUMBER(J33),J33&gt;=0,ISNUMBER(D33),D33&gt;=0),J33*D33,"")</x:f>
        <x:v>0.6288319446627889</x:v>
      </x:c>
      <x:c r="L33" s="10" t="str">
        <x:v>Allowance</x:v>
      </x:c>
      <x:c r="M33" s="10" t="str">
        <x:v>vendor_BOM row 29; schematic; AOS_AO3400A
Original unit input: NTD 5.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33"/>
      <x:c r="O33"/>
    </x:row>
    <x:row r="34" ht="153" customHeight="1">
      <x:c r="A34" s="10" t="n">
        <x:v>30</x:v>
      </x:c>
      <x:c r="B34" s="10" t="str">
        <x:v>R1</x:v>
      </x:c>
      <x:c r="C34" s="10" t="str">
        <x:v>Resistor (value not supplied)</x:v>
      </x:c>
      <x:c r="D34" s="10" t="n">
        <x:v>1</x:v>
      </x:c>
      <x:c r="E34" s="10" t="str"/>
      <x:c r="F34" s="10" t="str">
        <x:v>No resistance is given in the vendor BOM or schematic.</x:v>
      </x:c>
      <x:c r="G34" s="10" t="str">
        <x:v>Charge-termination current setting
Schematic page 1: charger / power path</x:v>
      </x:c>
      <x:c r="H34" s="10" t="str">
        <x:v>Confirm MPN,case/height,power,tolerance,TCR and voltage rating</x:v>
      </x:c>
      <x:c r="I34" s="10" t="str"/>
      <x:c r="J34" s="19" t="n">
        <x:v>0.03144159723313945</x:v>
      </x:c>
      <x:c r="K34" s="24" t="n">
        <x:f>IF(AND(ISNUMBER(J34),J34&gt;=0,ISNUMBER(D34),D34&gt;=0),J34*D34,"")</x:f>
        <x:v>0.03144159723313945</x:v>
      </x:c>
      <x:c r="L34" s="10" t="str">
        <x:v>Allowance</x:v>
      </x:c>
      <x:c r="M34" s="10" t="str">
        <x:v>vendor_BOM row 30;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34"/>
      <x:c r="O34"/>
    </x:row>
    <x:row r="35" ht="153" customHeight="1">
      <x:c r="A35" s="10" t="n">
        <x:v>31</x:v>
      </x:c>
      <x:c r="B35" s="10" t="str">
        <x:v>R2</x:v>
      </x:c>
      <x:c r="C35" s="10" t="str">
        <x:v>Resistor (value not supplied)</x:v>
      </x:c>
      <x:c r="D35" s="10" t="n">
        <x:v>1</x:v>
      </x:c>
      <x:c r="E35" s="10" t="str"/>
      <x:c r="F35" s="10" t="str">
        <x:v>No resistance is given in the vendor BOM or schematic.</x:v>
      </x:c>
      <x:c r="G35" s="10" t="str">
        <x:v>USB input-current limit setting
Schematic page 1: charger / power path</x:v>
      </x:c>
      <x:c r="H35" s="10" t="str">
        <x:v>Confirm MPN,case/height,power,tolerance,TCR and voltage rating</x:v>
      </x:c>
      <x:c r="I35" s="10" t="str"/>
      <x:c r="J35" s="19" t="n">
        <x:v>0.03144159723313945</x:v>
      </x:c>
      <x:c r="K35" s="24" t="n">
        <x:f>IF(AND(ISNUMBER(J35),J35&gt;=0,ISNUMBER(D35),D35&gt;=0),J35*D35,"")</x:f>
        <x:v>0.03144159723313945</x:v>
      </x:c>
      <x:c r="L35" s="10" t="str">
        <x:v>Allowance</x:v>
      </x:c>
      <x:c r="M35" s="10" t="str">
        <x:v>vendor_BOM row 31;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35"/>
      <x:c r="O35"/>
    </x:row>
    <x:row r="36" ht="153" customHeight="1">
      <x:c r="A36" s="10" t="n">
        <x:v>32</x:v>
      </x:c>
      <x:c r="B36" s="10" t="str">
        <x:v>R3</x:v>
      </x:c>
      <x:c r="C36" s="10" t="str">
        <x:v>Resistor (value not supplied)</x:v>
      </x:c>
      <x:c r="D36" s="10" t="n">
        <x:v>1</x:v>
      </x:c>
      <x:c r="E36" s="10" t="str"/>
      <x:c r="F36" s="10" t="str">
        <x:v>No resistance is given in the vendor BOM or schematic.</x:v>
      </x:c>
      <x:c r="G36" s="10" t="str">
        <x:v>Charge-current setting
Schematic page 1: charger / power path</x:v>
      </x:c>
      <x:c r="H36" s="10" t="str">
        <x:v>Confirm MPN,case/height,power,tolerance,TCR and voltage rating</x:v>
      </x:c>
      <x:c r="I36" s="10" t="str"/>
      <x:c r="J36" s="19" t="n">
        <x:v>0.03144159723313945</x:v>
      </x:c>
      <x:c r="K36" s="24" t="n">
        <x:f>IF(AND(ISNUMBER(J36),J36&gt;=0,ISNUMBER(D36),D36&gt;=0),J36*D36,"")</x:f>
        <x:v>0.03144159723313945</x:v>
      </x:c>
      <x:c r="L36" s="10" t="str">
        <x:v>Allowance</x:v>
      </x:c>
      <x:c r="M36" s="10" t="str">
        <x:v>vendor_BOM row 32;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36"/>
      <x:c r="O36"/>
    </x:row>
    <x:row r="37" ht="153" customHeight="1">
      <x:c r="A37" s="10" t="n">
        <x:v>33</x:v>
      </x:c>
      <x:c r="B37" s="10" t="str">
        <x:v>R4</x:v>
      </x:c>
      <x:c r="C37" s="10" t="str">
        <x:v>Resistor (value not supplied)</x:v>
      </x:c>
      <x:c r="D37" s="10" t="n">
        <x:v>1</x:v>
      </x:c>
      <x:c r="E37" s="10" t="str"/>
      <x:c r="F37" s="10" t="str">
        <x:v>No resistance is given in the vendor BOM or schematic.</x:v>
      </x:c>
      <x:c r="G37" s="10" t="str">
        <x:v>Series link from SW1 to boost EN
Schematic page 1: power enable</x:v>
      </x:c>
      <x:c r="H37" s="10" t="str">
        <x:v>Confirm MPN,case/height,power,tolerance,TCR and voltage rating</x:v>
      </x:c>
      <x:c r="I37" s="10" t="str"/>
      <x:c r="J37" s="19" t="n">
        <x:v>0.03144159723313945</x:v>
      </x:c>
      <x:c r="K37" s="24" t="n">
        <x:f>IF(AND(ISNUMBER(J37),J37&gt;=0,ISNUMBER(D37),D37&gt;=0),J37*D37,"")</x:f>
        <x:v>0.03144159723313945</x:v>
      </x:c>
      <x:c r="L37" s="10" t="str">
        <x:v>Allowance</x:v>
      </x:c>
      <x:c r="M37" s="10" t="str">
        <x:v>vendor_BOM row 33;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37"/>
      <x:c r="O37"/>
    </x:row>
    <x:row r="38" ht="153" customHeight="1">
      <x:c r="A38" s="10" t="n">
        <x:v>34</x:v>
      </x:c>
      <x:c r="B38" s="10" t="str">
        <x:v>R5</x:v>
      </x:c>
      <x:c r="C38" s="10" t="str">
        <x:v>Resistor (value not supplied)</x:v>
      </x:c>
      <x:c r="D38" s="10" t="n">
        <x:v>1</x:v>
      </x:c>
      <x:c r="E38" s="10" t="str"/>
      <x:c r="F38" s="10" t="str">
        <x:v>No resistance is given in the vendor BOM or schematic.</x:v>
      </x:c>
      <x:c r="G38" s="10" t="str">
        <x:v>DPS1 status-LED current limiting
Schematic page 1: charger status</x:v>
      </x:c>
      <x:c r="H38" s="10" t="str">
        <x:v>Confirm MPN,case/height,power,tolerance,TCR and voltage rating</x:v>
      </x:c>
      <x:c r="I38" s="10" t="str"/>
      <x:c r="J38" s="19" t="n">
        <x:v>0.03144159723313945</x:v>
      </x:c>
      <x:c r="K38" s="24" t="n">
        <x:f>IF(AND(ISNUMBER(J38),J38&gt;=0,ISNUMBER(D38),D38&gt;=0),J38*D38,"")</x:f>
        <x:v>0.03144159723313945</x:v>
      </x:c>
      <x:c r="L38" s="10" t="str">
        <x:v>Allowance</x:v>
      </x:c>
      <x:c r="M38" s="10" t="str">
        <x:v>vendor_BOM row 34;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38"/>
      <x:c r="O38"/>
    </x:row>
    <x:row r="39" ht="153" customHeight="1">
      <x:c r="A39" s="10" t="n">
        <x:v>35</x:v>
      </x:c>
      <x:c r="B39" s="10" t="str">
        <x:v>R6</x:v>
      </x:c>
      <x:c r="C39" s="10" t="str">
        <x:v>Resistor (value not supplied)</x:v>
      </x:c>
      <x:c r="D39" s="10" t="n">
        <x:v>1</x:v>
      </x:c>
      <x:c r="E39" s="10" t="str"/>
      <x:c r="F39" s="10" t="str">
        <x:v>No resistance is given in the vendor BOM or schematic.</x:v>
      </x:c>
      <x:c r="G39" s="10" t="str">
        <x:v>Upper boost-feedback divider
Schematic page 1: boost supply</x:v>
      </x:c>
      <x:c r="H39" s="10" t="str">
        <x:v>Confirm MPN,case/height,power,tolerance,TCR and voltage rating</x:v>
      </x:c>
      <x:c r="I39" s="10" t="str"/>
      <x:c r="J39" s="19" t="n">
        <x:v>0.03144159723313945</x:v>
      </x:c>
      <x:c r="K39" s="24" t="n">
        <x:f>IF(AND(ISNUMBER(J39),J39&gt;=0,ISNUMBER(D39),D39&gt;=0),J39*D39,"")</x:f>
        <x:v>0.03144159723313945</x:v>
      </x:c>
      <x:c r="L39" s="10" t="str">
        <x:v>Allowance</x:v>
      </x:c>
      <x:c r="M39" s="10" t="str">
        <x:v>vendor_BOM row 35;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39"/>
      <x:c r="O39"/>
    </x:row>
    <x:row r="40" ht="153" customHeight="1">
      <x:c r="A40" s="10" t="n">
        <x:v>36</x:v>
      </x:c>
      <x:c r="B40" s="10" t="str">
        <x:v>R7</x:v>
      </x:c>
      <x:c r="C40" s="10" t="str">
        <x:v>Resistor (value not supplied)</x:v>
      </x:c>
      <x:c r="D40" s="10" t="n">
        <x:v>1</x:v>
      </x:c>
      <x:c r="E40" s="10" t="str"/>
      <x:c r="F40" s="10" t="str">
        <x:v>No resistance is given in the vendor BOM or schematic.</x:v>
      </x:c>
      <x:c r="G40" s="10" t="str">
        <x:v>DPS2 charging-LED current limiting
Schematic page 1: charger status</x:v>
      </x:c>
      <x:c r="H40" s="10" t="str">
        <x:v>Confirm MPN,case/height,power,tolerance,TCR and voltage rating</x:v>
      </x:c>
      <x:c r="I40" s="10" t="str"/>
      <x:c r="J40" s="19" t="n">
        <x:v>0.03144159723313945</x:v>
      </x:c>
      <x:c r="K40" s="24" t="n">
        <x:f>IF(AND(ISNUMBER(J40),J40&gt;=0,ISNUMBER(D40),D40&gt;=0),J40*D40,"")</x:f>
        <x:v>0.03144159723313945</x:v>
      </x:c>
      <x:c r="L40" s="10" t="str">
        <x:v>Allowance</x:v>
      </x:c>
      <x:c r="M40" s="10" t="str">
        <x:v>vendor_BOM row 36;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40"/>
      <x:c r="O40"/>
    </x:row>
    <x:row r="41" ht="153" customHeight="1">
      <x:c r="A41" s="10" t="n">
        <x:v>37</x:v>
      </x:c>
      <x:c r="B41" s="10" t="str">
        <x:v>R8</x:v>
      </x:c>
      <x:c r="C41" s="10" t="str">
        <x:v>Resistor (value not supplied)</x:v>
      </x:c>
      <x:c r="D41" s="10" t="n">
        <x:v>1</x:v>
      </x:c>
      <x:c r="E41" s="10" t="str"/>
      <x:c r="F41" s="10" t="str">
        <x:v>No resistance is given in the vendor BOM or schematic.</x:v>
      </x:c>
      <x:c r="G41" s="10" t="str">
        <x:v>Lower boost-feedback divider
Schematic page 1: boost supply</x:v>
      </x:c>
      <x:c r="H41" s="10" t="str">
        <x:v>Confirm MPN,case/height,power,tolerance,TCR and voltage rating</x:v>
      </x:c>
      <x:c r="I41" s="10" t="str"/>
      <x:c r="J41" s="19" t="n">
        <x:v>0.03144159723313945</x:v>
      </x:c>
      <x:c r="K41" s="24" t="n">
        <x:f>IF(AND(ISNUMBER(J41),J41&gt;=0,ISNUMBER(D41),D41&gt;=0),J41*D41,"")</x:f>
        <x:v>0.03144159723313945</x:v>
      </x:c>
      <x:c r="L41" s="10" t="str">
        <x:v>Allowance</x:v>
      </x:c>
      <x:c r="M41" s="10" t="str">
        <x:v>vendor_BOM row 37;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41"/>
      <x:c r="O41"/>
    </x:row>
    <x:row r="42" ht="153" customHeight="1">
      <x:c r="A42" s="10" t="n">
        <x:v>38</x:v>
      </x:c>
      <x:c r="B42" s="10" t="str">
        <x:v>R9</x:v>
      </x:c>
      <x:c r="C42" s="10" t="str">
        <x:v>Resistor (value not supplied)</x:v>
      </x:c>
      <x:c r="D42" s="10" t="n">
        <x:v>1</x:v>
      </x:c>
      <x:c r="E42" s="10" t="str"/>
      <x:c r="F42" s="10" t="str">
        <x:v>No resistance is given in the vendor BOM or schematic.</x:v>
      </x:c>
      <x:c r="G42" s="10" t="str">
        <x:v>Charger TS bias; not verified temperature sensing
Schematic page 1: charger TS</x:v>
      </x:c>
      <x:c r="H42" s="10" t="str">
        <x:v>Confirm MPN,case/height,power,tolerance,TCR and voltage rating</x:v>
      </x:c>
      <x:c r="I42" s="10" t="str"/>
      <x:c r="J42" s="19" t="n">
        <x:v>0.03144159723313945</x:v>
      </x:c>
      <x:c r="K42" s="24" t="n">
        <x:f>IF(AND(ISNUMBER(J42),J42&gt;=0,ISNUMBER(D42),D42&gt;=0),J42*D42,"")</x:f>
        <x:v>0.03144159723313945</x:v>
      </x:c>
      <x:c r="L42" s="10" t="str">
        <x:v>Allowance</x:v>
      </x:c>
      <x:c r="M42" s="10" t="str">
        <x:v>vendor_BOM row 38;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42"/>
      <x:c r="O42"/>
    </x:row>
    <x:row r="43" ht="153" customHeight="1">
      <x:c r="A43" s="10" t="n">
        <x:v>39</x:v>
      </x:c>
      <x:c r="B43" s="10" t="str">
        <x:v>R10</x:v>
      </x:c>
      <x:c r="C43" s="10" t="str">
        <x:v>Resistor (value not supplied)</x:v>
      </x:c>
      <x:c r="D43" s="10" t="n">
        <x:v>1</x:v>
      </x:c>
      <x:c r="E43" s="10" t="str"/>
      <x:c r="F43" s="10" t="str">
        <x:v>No resistance is given in the vendor BOM or schematic.</x:v>
      </x:c>
      <x:c r="G43" s="10" t="str">
        <x:v>Upper divider to U3 P2
Schematic page 1: U3 power-control circuitry</x:v>
      </x:c>
      <x:c r="H43" s="10" t="str">
        <x:v>Confirm MPN,case/height,power,tolerance,TCR and voltage rating</x:v>
      </x:c>
      <x:c r="I43" s="10" t="str"/>
      <x:c r="J43" s="19" t="n">
        <x:v>0.03144159723313945</x:v>
      </x:c>
      <x:c r="K43" s="24" t="n">
        <x:f>IF(AND(ISNUMBER(J43),J43&gt;=0,ISNUMBER(D43),D43&gt;=0),J43*D43,"")</x:f>
        <x:v>0.03144159723313945</x:v>
      </x:c>
      <x:c r="L43" s="10" t="str">
        <x:v>Allowance</x:v>
      </x:c>
      <x:c r="M43" s="10" t="str">
        <x:v>vendor_BOM row 39;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43"/>
      <x:c r="O43"/>
    </x:row>
    <x:row r="44" ht="153" customHeight="1">
      <x:c r="A44" s="10" t="n">
        <x:v>40</x:v>
      </x:c>
      <x:c r="B44" s="10" t="str">
        <x:v>R11</x:v>
      </x:c>
      <x:c r="C44" s="10" t="str">
        <x:v>Resistor (value not supplied)</x:v>
      </x:c>
      <x:c r="D44" s="10" t="n">
        <x:v>1</x:v>
      </x:c>
      <x:c r="E44" s="10" t="str"/>
      <x:c r="F44" s="10" t="str">
        <x:v>No resistance is given in the vendor BOM or schematic.</x:v>
      </x:c>
      <x:c r="G44" s="10" t="str">
        <x:v>U1 EN / U3 P3 pull-down
Schematic page 1: power enable</x:v>
      </x:c>
      <x:c r="H44" s="10" t="str">
        <x:v>Confirm MPN,case/height,power,tolerance,TCR and voltage rating</x:v>
      </x:c>
      <x:c r="I44" s="10" t="str"/>
      <x:c r="J44" s="19" t="n">
        <x:v>0.03144159723313945</x:v>
      </x:c>
      <x:c r="K44" s="24" t="n">
        <x:f>IF(AND(ISNUMBER(J44),J44&gt;=0,ISNUMBER(D44),D44&gt;=0),J44*D44,"")</x:f>
        <x:v>0.03144159723313945</x:v>
      </x:c>
      <x:c r="L44" s="10" t="str">
        <x:v>Allowance</x:v>
      </x:c>
      <x:c r="M44" s="10" t="str">
        <x:v>vendor_BOM row 40;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44"/>
      <x:c r="O44"/>
    </x:row>
    <x:row r="45" ht="153" customHeight="1">
      <x:c r="A45" s="10" t="n">
        <x:v>41</x:v>
      </x:c>
      <x:c r="B45" s="10" t="str">
        <x:v>R12</x:v>
      </x:c>
      <x:c r="C45" s="10" t="str">
        <x:v>Resistor (value not supplied)</x:v>
      </x:c>
      <x:c r="D45" s="10" t="n">
        <x:v>1</x:v>
      </x:c>
      <x:c r="E45" s="10" t="str"/>
      <x:c r="F45" s="10" t="str">
        <x:v>No resistance is given in the vendor BOM or schematic.</x:v>
      </x:c>
      <x:c r="G45" s="10" t="str">
        <x:v>Lower divider from U3 P2
Schematic page 1: U3 power-control circuitry</x:v>
      </x:c>
      <x:c r="H45" s="10" t="str">
        <x:v>Confirm MPN,case/height,power,tolerance,TCR and voltage rating</x:v>
      </x:c>
      <x:c r="I45" s="10" t="str"/>
      <x:c r="J45" s="19" t="n">
        <x:v>0.03144159723313945</x:v>
      </x:c>
      <x:c r="K45" s="24" t="n">
        <x:f>IF(AND(ISNUMBER(J45),J45&gt;=0,ISNUMBER(D45),D45&gt;=0),J45*D45,"")</x:f>
        <x:v>0.03144159723313945</x:v>
      </x:c>
      <x:c r="L45" s="10" t="str">
        <x:v>Allowance</x:v>
      </x:c>
      <x:c r="M45" s="10" t="str">
        <x:v>vendor_BOM row 41;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45"/>
      <x:c r="O45"/>
    </x:row>
    <x:row r="46" ht="153" customHeight="1">
      <x:c r="A46" s="10" t="n">
        <x:v>42</x:v>
      </x:c>
      <x:c r="B46" s="10" t="str">
        <x:v>R13</x:v>
      </x:c>
      <x:c r="C46" s="10" t="str">
        <x:v>Resistor (value not supplied)</x:v>
      </x:c>
      <x:c r="D46" s="10" t="n">
        <x:v>1</x:v>
      </x:c>
      <x:c r="E46" s="10" t="str"/>
      <x:c r="F46" s="10" t="str">
        <x:v>No resistance is given in the vendor BOM or schematic.</x:v>
      </x:c>
      <x:c r="G46" s="10" t="str">
        <x:v>USB-C CC1 pull-down
Schematic page 1: USB-C</x:v>
      </x:c>
      <x:c r="H46" s="10" t="str">
        <x:v>Confirm MPN,case/height,power,tolerance,TCR and voltage rating</x:v>
      </x:c>
      <x:c r="I46" s="10" t="str"/>
      <x:c r="J46" s="19" t="n">
        <x:v>0.03144159723313945</x:v>
      </x:c>
      <x:c r="K46" s="24" t="n">
        <x:f>IF(AND(ISNUMBER(J46),J46&gt;=0,ISNUMBER(D46),D46&gt;=0),J46*D46,"")</x:f>
        <x:v>0.03144159723313945</x:v>
      </x:c>
      <x:c r="L46" s="10" t="str">
        <x:v>Allowance</x:v>
      </x:c>
      <x:c r="M46" s="10" t="str">
        <x:v>vendor_BOM row 42;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46"/>
      <x:c r="O46"/>
    </x:row>
    <x:row r="47" ht="153" customHeight="1">
      <x:c r="A47" s="10" t="n">
        <x:v>43</x:v>
      </x:c>
      <x:c r="B47" s="10" t="str">
        <x:v>R14</x:v>
      </x:c>
      <x:c r="C47" s="10" t="str">
        <x:v>Resistor (value not supplied)</x:v>
      </x:c>
      <x:c r="D47" s="10" t="n">
        <x:v>1</x:v>
      </x:c>
      <x:c r="E47" s="10" t="str"/>
      <x:c r="F47" s="10" t="str">
        <x:v>No resistance is given in the vendor BOM or schematic.</x:v>
      </x:c>
      <x:c r="G47" s="10" t="str">
        <x:v>USB-C CC2 pull-down
Schematic page 1: USB-C</x:v>
      </x:c>
      <x:c r="H47" s="10" t="str">
        <x:v>Confirm MPN,case/height,power,tolerance,TCR and voltage rating</x:v>
      </x:c>
      <x:c r="I47" s="10" t="str"/>
      <x:c r="J47" s="19" t="n">
        <x:v>0.03144159723313945</x:v>
      </x:c>
      <x:c r="K47" s="24" t="n">
        <x:f>IF(AND(ISNUMBER(J47),J47&gt;=0,ISNUMBER(D47),D47&gt;=0),J47*D47,"")</x:f>
        <x:v>0.03144159723313945</x:v>
      </x:c>
      <x:c r="L47" s="10" t="str">
        <x:v>Allowance</x:v>
      </x:c>
      <x:c r="M47" s="10" t="str">
        <x:v>vendor_BOM row 43;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47"/>
      <x:c r="O47"/>
    </x:row>
    <x:row r="48" ht="153" customHeight="1">
      <x:c r="A48" s="10" t="n">
        <x:v>44</x:v>
      </x:c>
      <x:c r="B48" s="10" t="str">
        <x:v>R15,R28,R35</x:v>
      </x:c>
      <x:c r="C48" s="10" t="str">
        <x:v>10 kΩ resistor</x:v>
      </x:c>
      <x:c r="D48" s="10" t="n">
        <x:v>3</x:v>
      </x:c>
      <x:c r="E48" s="10" t="str">
        <x:v>10k</x:v>
      </x:c>
      <x:c r="F48" s="10" t="str">
        <x:v>Vendor nominal resistance: 10k.</x:v>
      </x:c>
      <x:c r="G48" s="10" t="str">
        <x:v>ESP_EN/reference SHDN/ADC DIN pull-ups
Schematic page 2: ESP32 reset；Schematic page 2: 2V5_REF；Schematic page 2: ADC</x:v>
      </x:c>
      <x:c r="H48" s="10" t="str">
        <x:v>Confirm MPN,case/height,power,tolerance,TCR and voltage rating</x:v>
      </x:c>
      <x:c r="I48" s="10" t="str"/>
      <x:c r="J48" s="19" t="n">
        <x:v>0.03144159723313945</x:v>
      </x:c>
      <x:c r="K48" s="24" t="n">
        <x:f>IF(AND(ISNUMBER(J48),J48&gt;=0,ISNUMBER(D48),D48&gt;=0),J48*D48,"")</x:f>
        <x:v>0.09432479169941835</x:v>
      </x:c>
      <x:c r="L48" s="10" t="str">
        <x:v>Allowance</x:v>
      </x:c>
      <x:c r="M48" s="10" t="str">
        <x:v>vendor_BOM row 44;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48"/>
      <x:c r="O48"/>
    </x:row>
    <x:row r="49" ht="153" customHeight="1">
      <x:c r="A49" s="10" t="n">
        <x:v>45</x:v>
      </x:c>
      <x:c r="B49" s="10" t="str">
        <x:v>R16,R21,R24,R29,R30,R31,R36</x:v>
      </x:c>
      <x:c r="C49" s="10" t="str">
        <x:v>100 Ω resistor</x:v>
      </x:c>
      <x:c r="D49" s="10" t="n">
        <x:v>7</x:v>
      </x:c>
      <x:c r="E49" s="10" t="str">
        <x:v>100R</x:v>
      </x:c>
      <x:c r="F49" s="10" t="str">
        <x:v>Vendor nominal resistance: 100R.</x:v>
      </x:c>
      <x:c r="G49" s="10" t="str">
        <x:v>LED current limiting; TIA/ADC isolation/supply filtering
Schematic page 2: LEDs；Schematic page 2: TIA / ADC；Schematic page 2: TIA supply</x:v>
      </x:c>
      <x:c r="H49" s="10" t="str">
        <x:v>Confirm MPN,case/height,power,tolerance,TCR and voltage rating</x:v>
      </x:c>
      <x:c r="I49" s="10" t="str"/>
      <x:c r="J49" s="19" t="n">
        <x:v>0.03144159723313945</x:v>
      </x:c>
      <x:c r="K49" s="24" t="n">
        <x:f>IF(AND(ISNUMBER(J49),J49&gt;=0,ISNUMBER(D49),D49&gt;=0),J49*D49,"")</x:f>
        <x:v>0.22009118063197614</x:v>
      </x:c>
      <x:c r="L49" s="10" t="str">
        <x:v>Allowance</x:v>
      </x:c>
      <x:c r="M49" s="10" t="str">
        <x:v>vendor_BOM row 45;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49"/>
      <x:c r="O49"/>
    </x:row>
    <x:row r="50" ht="153" customHeight="1">
      <x:c r="A50" s="10" t="n">
        <x:v>46</x:v>
      </x:c>
      <x:c r="B50" s="10" t="str">
        <x:v>R17,R22,R25,R32</x:v>
      </x:c>
      <x:c r="C50" s="10" t="str">
        <x:v>220 Ω resistor</x:v>
      </x:c>
      <x:c r="D50" s="10" t="n">
        <x:v>4</x:v>
      </x:c>
      <x:c r="E50" s="10" t="str">
        <x:v>220R</x:v>
      </x:c>
      <x:c r="F50" s="10" t="str">
        <x:v>Vendor nominal resistance: 220R.</x:v>
      </x:c>
      <x:c r="G50" s="10" t="str">
        <x:v>LED-MOSFET series gate resistors
Schematic page 2: LEDs</x:v>
      </x:c>
      <x:c r="H50" s="10" t="str">
        <x:v>Confirm MPN,case/height,power,tolerance,TCR and voltage rating</x:v>
      </x:c>
      <x:c r="I50" s="10" t="str"/>
      <x:c r="J50" s="19" t="n">
        <x:v>0.03144159723313945</x:v>
      </x:c>
      <x:c r="K50" s="24" t="n">
        <x:f>IF(AND(ISNUMBER(J50),J50&gt;=0,ISNUMBER(D50),D50&gt;=0),J50*D50,"")</x:f>
        <x:v>0.1257663889325578</x:v>
      </x:c>
      <x:c r="L50" s="10" t="str">
        <x:v>Allowance</x:v>
      </x:c>
      <x:c r="M50" s="10" t="str">
        <x:v>vendor_BOM row 46;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50"/>
      <x:c r="O50"/>
    </x:row>
    <x:row r="51" ht="153" customHeight="1">
      <x:c r="A51" s="10" t="n">
        <x:v>47</x:v>
      </x:c>
      <x:c r="B51" s="10" t="str">
        <x:v>R20,R23,R26,R33</x:v>
      </x:c>
      <x:c r="C51" s="10" t="str">
        <x:v>100 kΩ resistor</x:v>
      </x:c>
      <x:c r="D51" s="10" t="n">
        <x:v>4</x:v>
      </x:c>
      <x:c r="E51" s="10" t="str">
        <x:v>100k</x:v>
      </x:c>
      <x:c r="F51" s="10" t="str">
        <x:v>Vendor nominal resistance: 100k.</x:v>
      </x:c>
      <x:c r="G51" s="10" t="str">
        <x:v>LED-MOSFET gate pull-downs
Schematic page 2: LEDs</x:v>
      </x:c>
      <x:c r="H51" s="10" t="str">
        <x:v>Confirm MPN,case/height,power,tolerance,TCR and voltage rating</x:v>
      </x:c>
      <x:c r="I51" s="10" t="str"/>
      <x:c r="J51" s="19" t="n">
        <x:v>0.03144159723313945</x:v>
      </x:c>
      <x:c r="K51" s="24" t="n">
        <x:f>IF(AND(ISNUMBER(J51),J51&gt;=0,ISNUMBER(D51),D51&gt;=0),J51*D51,"")</x:f>
        <x:v>0.1257663889325578</x:v>
      </x:c>
      <x:c r="L51" s="10" t="str">
        <x:v>Allowance</x:v>
      </x:c>
      <x:c r="M51" s="10" t="str">
        <x:v>vendor_BOM row 47;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51"/>
      <x:c r="O51"/>
    </x:row>
    <x:row r="52" ht="153" customHeight="1">
      <x:c r="A52" s="10" t="n">
        <x:v>48</x:v>
      </x:c>
      <x:c r="B52" s="10" t="str">
        <x:v>R27</x:v>
      </x:c>
      <x:c r="C52" s="10" t="str">
        <x:v>100 MΩ resistor</x:v>
      </x:c>
      <x:c r="D52" s="10" t="n">
        <x:v>1</x:v>
      </x:c>
      <x:c r="E52" s="10" t="str">
        <x:v>100M</x:v>
      </x:c>
      <x:c r="F52" s="10" t="str">
        <x:v>Vendor nominal resistance: 100M.</x:v>
      </x:c>
      <x:c r="G52" s="10" t="str">
        <x:v>PD transimpedance feedback
Schematic page 2: TIA</x:v>
      </x:c>
      <x:c r="H52" s="10" t="str">
        <x:v>Confirm MPN/package,ratings/tolerance,leakage and noise</x:v>
      </x:c>
      <x:c r="I52" s="10" t="str"/>
      <x:c r="J52" s="19" t="n">
        <x:v>0.9432479169941833</x:v>
      </x:c>
      <x:c r="K52" s="24" t="n">
        <x:f>IF(AND(ISNUMBER(J52),J52&gt;=0,ISNUMBER(D52),D52&gt;=0),J52*D52,"")</x:f>
        <x:v>0.9432479169941833</x:v>
      </x:c>
      <x:c r="L52" s="10" t="str">
        <x:v>Allowance</x:v>
      </x:c>
      <x:c r="M52" s="10" t="str">
        <x:v>vendor_BOM row 48; schematic
Original unit input: NTD 30.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52"/>
      <x:c r="O52"/>
    </x:row>
    <x:row r="53" ht="153" customHeight="1">
      <x:c r="A53" s="10" t="n">
        <x:v>49</x:v>
      </x:c>
      <x:c r="B53" s="10" t="str">
        <x:v>R34</x:v>
      </x:c>
      <x:c r="C53" s="10" t="str">
        <x:v>0.1 Ω resistor</x:v>
      </x:c>
      <x:c r="D53" s="10" t="n">
        <x:v>1</x:v>
      </x:c>
      <x:c r="E53" s="10" t="str">
        <x:v>0.1R</x:v>
      </x:c>
      <x:c r="F53" s="10" t="str">
        <x:v>Vendor nominal resistance: 0.1R.</x:v>
      </x:c>
      <x:c r="G53" s="10" t="str">
        <x:v>Reference-bypass branch in series with C28
Schematic page 2: ADC reference</x:v>
      </x:c>
      <x:c r="H53" s="10" t="str">
        <x:v>Confirm MPN,case/height,power,tolerance,TCR and voltage rating</x:v>
      </x:c>
      <x:c r="I53" s="10" t="str"/>
      <x:c r="J53" s="19" t="n">
        <x:v>0.15720798616569723</x:v>
      </x:c>
      <x:c r="K53" s="24" t="n">
        <x:f>IF(AND(ISNUMBER(J53),J53&gt;=0,ISNUMBER(D53),D53&gt;=0),J53*D53,"")</x:f>
        <x:v>0.15720798616569723</x:v>
      </x:c>
      <x:c r="L53" s="10" t="str">
        <x:v>Allowance</x:v>
      </x:c>
      <x:c r="M53" s="10" t="str">
        <x:v>vendor_BOM row 49; schematic
Original unit input: NTD 5.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53"/>
      <x:c r="O53"/>
    </x:row>
    <x:row r="54" ht="153" customHeight="1">
      <x:c r="A54" s="10" t="n">
        <x:v>50</x:v>
      </x:c>
      <x:c r="B54" s="10" t="str">
        <x:v>R37,R38</x:v>
      </x:c>
      <x:c r="C54" s="10" t="str">
        <x:v>47 Ω resistor</x:v>
      </x:c>
      <x:c r="D54" s="10" t="n">
        <x:v>2</x:v>
      </x:c>
      <x:c r="E54" s="10" t="str">
        <x:v>47R</x:v>
      </x:c>
      <x:c r="F54" s="10" t="str">
        <x:v>Vendor nominal resistance: 47R.</x:v>
      </x:c>
      <x:c r="G54" s="10" t="str">
        <x:v>ADC SCLK/CONVST series resistors
Schematic page 2: ADC digital interface</x:v>
      </x:c>
      <x:c r="H54" s="10" t="str">
        <x:v>Confirm MPN,case/height,power,tolerance,TCR and voltage rating</x:v>
      </x:c>
      <x:c r="I54" s="10" t="str"/>
      <x:c r="J54" s="19" t="n">
        <x:v>0.03144159723313945</x:v>
      </x:c>
      <x:c r="K54" s="24" t="n">
        <x:f>IF(AND(ISNUMBER(J54),J54&gt;=0,ISNUMBER(D54),D54&gt;=0),J54*D54,"")</x:f>
        <x:v>0.0628831944662789</x:v>
      </x:c>
      <x:c r="L54" s="10" t="str">
        <x:v>Allowance</x:v>
      </x:c>
      <x:c r="M54" s="10" t="str">
        <x:v>vendor_BOM row 50; schematic
Original unit input: NTD 1.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54"/>
      <x:c r="O54"/>
    </x:row>
    <x:row r="55" ht="153" customHeight="1">
      <x:c r="A55" s="10" t="n">
        <x:v>51</x:v>
      </x:c>
      <x:c r="B55" s="10" t="str">
        <x:v>SW1</x:v>
      </x:c>
      <x:c r="C55" s="10" t="str">
        <x:v>Power-enable selector switch</x:v>
      </x:c>
      <x:c r="D55" s="10" t="n">
        <x:v>1</x:v>
      </x:c>
      <x:c r="E55" s="10" t="str">
        <x:v>SW1</x:v>
      </x:c>
      <x:c r="F55" s="10" t="str">
        <x:v>COMM/B/A contacts; A unconnected; physical model unspecified</x:v>
      </x:c>
      <x:c r="G55" s="10" t="str">
        <x:v>Boost enable; not whole-power isolation
Schematic page 1: SW1 / power enable</x:v>
      </x:c>
      <x:c r="H55" s="10" t="str">
        <x:v>Confirm MPN,type,actuator/travel,ratings and opening</x:v>
      </x:c>
      <x:c r="I55" s="10" t="str"/>
      <x:c r="J55" s="19" t="n">
        <x:v>0.47162395849709166</x:v>
      </x:c>
      <x:c r="K55" s="24" t="n">
        <x:f>IF(AND(ISNUMBER(J55),J55&gt;=0,ISNUMBER(D55),D55&gt;=0),J55*D55,"")</x:f>
        <x:v>0.47162395849709166</x:v>
      </x:c>
      <x:c r="L55" s="10" t="str">
        <x:v>Allowance</x:v>
      </x:c>
      <x:c r="M55" s="10" t="str">
        <x:v>vendor_BOM row 51; schematic
Original unit input: NTD 15.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55"/>
      <x:c r="O55"/>
    </x:row>
    <x:row r="56" ht="153" customHeight="1">
      <x:c r="A56" s="10" t="n">
        <x:v>52</x:v>
      </x:c>
      <x:c r="B56" s="10" t="str">
        <x:v>SW2,SW3</x:v>
      </x:c>
      <x:c r="C56" s="10" t="str">
        <x:v>Tactile pushbutton</x:v>
      </x:c>
      <x:c r="D56" s="10" t="n">
        <x:v>2</x:v>
      </x:c>
      <x:c r="E56" s="10" t="str">
        <x:v>Tactile_Switch</x:v>
      </x:c>
      <x:c r="F56" s="10" t="str">
        <x:v>SW2/SW3 tactile buttons; ground signal when pressed</x:v>
      </x:c>
      <x:c r="G56" s="10" t="str">
        <x:v>SW2 reset; SW3 download mode
Schematic page 2: ESP32</x:v>
      </x:c>
      <x:c r="H56" s="10" t="str">
        <x:v>Confirm MPN,package/height,actuation force and contact ratings</x:v>
      </x:c>
      <x:c r="I56" s="10" t="str"/>
      <x:c r="J56" s="19" t="n">
        <x:v>0.15720798616569723</x:v>
      </x:c>
      <x:c r="K56" s="24" t="n">
        <x:f>IF(AND(ISNUMBER(J56),J56&gt;=0,ISNUMBER(D56),D56&gt;=0),J56*D56,"")</x:f>
        <x:v>0.31441597233139446</x:v>
      </x:c>
      <x:c r="L56" s="10" t="str">
        <x:v>Allowance</x:v>
      </x:c>
      <x:c r="M56" s="10" t="str">
        <x:v>vendor_BOM row 52; schematic
Original unit input: NTD 5.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56"/>
      <x:c r="O56"/>
    </x:row>
    <x:row r="57" ht="123" customHeight="1">
      <x:c r="A57" s="10" t="n">
        <x:v>53</x:v>
      </x:c>
      <x:c r="B57" s="10" t="str">
        <x:v>U1</x:v>
      </x:c>
      <x:c r="C57" s="10" t="str">
        <x:v>Synchronous boost converter</x:v>
      </x:c>
      <x:c r="D57" s="10" t="n">
        <x:v>1</x:v>
      </x:c>
      <x:c r="E57" s="10" t="str">
        <x:v>TPS61023</x:v>
      </x:c>
      <x:c r="F57" s="10" t="str">
        <x:v>TPS61023; synchronous boost; 6-pin SOT-563(DRL)</x:v>
      </x:c>
      <x:c r="G57" s="10" t="str">
        <x:v>Boosts system/battery supply to the rail labelled 5V
Schematic page 1: U1 boost supply</x:v>
      </x:c>
      <x:c r="H57" s="10" t="str">
        <x:v>Confirm ordering suffix/external values;5V/fan margin unverified</x:v>
      </x:c>
      <x:c r="I57" s="10" t="str"/>
      <x:c r="J57" s="19" t="n">
        <x:v>1.634963056123251</x:v>
      </x:c>
      <x:c r="K57" s="24" t="n">
        <x:f>IF(AND(ISNUMBER(J57),J57&gt;=0,ISNUMBER(D57),D57&gt;=0),J57*D57,"")</x:f>
        <x:v>1.634963056123251</x:v>
      </x:c>
      <x:c r="L57" s="10" t="str">
        <x:v>Proxy</x:v>
      </x:c>
      <x:c r="M57" s="10" t="str">
        <x:v>vendor_BOM row 53; schematic; TI_TPS61023
Original unit input: NTD 52. Converted at 31.805 NTD/USD.
Search results list TPS61023DRLT cut tape NTD 52. Packaging-suffix proxy for vendor TPS61023; exact order code requires confirmation.
https://www.digikey.tw/en/products/detail/texas-instruments/TPS61023DRLR/11310629</x:v>
      </x:c>
      <x:c r="N57"/>
      <x:c r="O57"/>
    </x:row>
    <x:row r="58" ht="108" customHeight="1">
      <x:c r="A58" s="10" t="n">
        <x:v>54</x:v>
      </x:c>
      <x:c r="B58" s="10" t="str">
        <x:v>U2</x:v>
      </x:c>
      <x:c r="C58" s="10" t="str">
        <x:v>Single-cell lithium charger / power-path IC</x:v>
      </x:c>
      <x:c r="D58" s="10" t="n">
        <x:v>1</x:v>
      </x:c>
      <x:c r="E58" s="10" t="str">
        <x:v>BQ24074</x:v>
      </x:c>
      <x:c r="F58" s="10" t="str">
        <x:v>BQ24074; single-cell Li-ion/Li-poly, 4.2V charging; 16-pin VQFN(RGT)</x:v>
      </x:c>
      <x:c r="G58" s="10" t="str">
        <x:v>Single-cell charging and system power path
Schematic page 1: U2 charger / power path</x:v>
      </x:c>
      <x:c r="H58" s="10" t="str">
        <x:v>Confirm suffix,R1–R3/R9 and battery/thermal configuration</x:v>
      </x:c>
      <x:c r="I58" s="10" t="str"/>
      <x:c r="J58" s="19" t="n">
        <x:v>2.766860556516271</x:v>
      </x:c>
      <x:c r="K58" s="24" t="n">
        <x:f>IF(AND(ISNUMBER(J58),J58&gt;=0,ISNUMBER(D58),D58&gt;=0),J58*D58,"")</x:f>
        <x:v>2.766860556516271</x:v>
      </x:c>
      <x:c r="L58" s="10" t="str">
        <x:v>Proxy</x:v>
      </x:c>
      <x:c r="M58" s="10" t="str">
        <x:v>vendor_BOM row 54; schematic; TI_BQ24074
Original unit input: NTD 88. Converted at 31.805 NTD/USD.
NTD 88 each at quantity 1; RGT package assumed from schematic.
https://www.digikey.tw/en/products/detail/texas-instruments/BQ24074RGTR/2047269</x:v>
      </x:c>
      <x:c r="N58"/>
      <x:c r="O58"/>
    </x:row>
    <x:row r="59" ht="153" customHeight="1">
      <x:c r="A59" s="10" t="n">
        <x:v>55</x:v>
      </x:c>
      <x:c r="B59" s="10" t="str">
        <x:v>U3</x:v>
      </x:c>
      <x:c r="C59" s="10" t="str">
        <x:v>Unidentified six-pin IC</x:v>
      </x:c>
      <x:c r="D59" s="10" t="n">
        <x:v>1</x:v>
      </x:c>
      <x:c r="E59" s="10" t="str"/>
      <x:c r="F59" s="10" t="str">
        <x:v>U3 only labelsP1–P6; model, pin functions, package unknown</x:v>
      </x:c>
      <x:c r="G59" s="10" t="str">
        <x:v>Connected to boost EN; exact function unknown
Schematic page 1: U3 power-control circuitry</x:v>
      </x:c>
      <x:c r="H59" s="10" t="str">
        <x:v>Vendor must identify model,function,package and external values</x:v>
      </x:c>
      <x:c r="I59" s="10" t="str"/>
      <x:c r="J59" s="19"/>
      <x:c r="K59" s="24" t="str">
        <x:f>IF(AND(ISNUMBER(J59),J59&gt;=0,ISNUMBER(D59),D59&gt;=0),J59*D59,"")</x:f>
      </x:c>
      <x:c r="L59" s="10" t="str">
        <x:v>Unidentified part</x:v>
      </x:c>
      <x:c r="M59" s="10" t="str">
        <x:v>vendor_BOM row 55; schematic
Original unit input: unpriced.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59"/>
      <x:c r="O59"/>
    </x:row>
    <x:row r="60" ht="108" customHeight="1">
      <x:c r="A60" s="10" t="n">
        <x:v>56</x:v>
      </x:c>
      <x:c r="B60" s="10" t="str">
        <x:v>U4</x:v>
      </x:c>
      <x:c r="C60" s="10" t="str">
        <x:v>Wi-Fi / Bluetooth microcontroller module</x:v>
      </x:c>
      <x:c r="D60" s="10" t="n">
        <x:v>1</x:v>
      </x:c>
      <x:c r="E60" s="10" t="str">
        <x:v>ESP32-WROOM-32E</x:v>
      </x:c>
      <x:c r="F60" s="10" t="str">
        <x:v>ESP32-WROOM-32E; 2.4GHz wireless; 3.3V system; onboard antenna</x:v>
      </x:c>
      <x:c r="G60" s="10" t="str">
        <x:v>LED control, ADC readout and Wi-Fi
Schematic page 2: ESP32; preserve antenna clearance</x:v>
      </x:c>
      <x:c r="H60" s="10" t="str">
        <x:v>Confirm memory variant,antenna keepout and assembled height</x:v>
      </x:c>
      <x:c r="I60" s="10" t="str"/>
      <x:c r="J60" s="19" t="n">
        <x:v>5.6909290991982395</x:v>
      </x:c>
      <x:c r="K60" s="24" t="n">
        <x:f>IF(AND(ISNUMBER(J60),J60&gt;=0,ISNUMBER(D60),D60&gt;=0),J60*D60,"")</x:f>
        <x:v>5.6909290991982395</x:v>
      </x:c>
      <x:c r="L60" s="10" t="str">
        <x:v>Proxy</x:v>
      </x:c>
      <x:c r="M60" s="10" t="str">
        <x:v>vendor_BOM row 56; schematic; ESPRESSIF_32E
Original unit input: NTD 181. Converted at 31.805 NTD/USD.
NTD 181 each. N4 is a price proxy; vendor flash suffix missing.
https://www.digikey.tw/en/products/detail/espressif-systems/ESP32-WROOM-32E-N4/11613125</x:v>
      </x:c>
      <x:c r="N60"/>
      <x:c r="O60"/>
    </x:row>
    <x:row r="61" ht="153" customHeight="1">
      <x:c r="A61" s="10" t="n">
        <x:v>57</x:v>
      </x:c>
      <x:c r="B61" s="10" t="str">
        <x:v>U5</x:v>
      </x:c>
      <x:c r="C61" s="10" t="str">
        <x:v>3.3 V digital-supply LDO</x:v>
      </x:c>
      <x:c r="D61" s="10" t="n">
        <x:v>1</x:v>
      </x:c>
      <x:c r="E61" s="10" t="str">
        <x:v>EC50117KBG</x:v>
      </x:c>
      <x:c r="F61" s="10" t="str">
        <x:v>EC50117KBG; fixed3.3V LDO; SOT-223</x:v>
      </x:c>
      <x:c r="G61" s="10" t="str">
        <x:v>5V to 3V3_DIG digital supply
Schematic page 2: 3V3 LDO</x:v>
      </x:c>
      <x:c r="H61" s="10" t="str">
        <x:v>Verify C17/C18,thermal design and available current</x:v>
      </x:c>
      <x:c r="I61" s="10" t="str"/>
      <x:c r="J61" s="19" t="n">
        <x:v>0.31441597233139446</x:v>
      </x:c>
      <x:c r="K61" s="24" t="n">
        <x:f>IF(AND(ISNUMBER(J61),J61&gt;=0,ISNUMBER(D61),D61&gt;=0),J61*D61,"")</x:f>
        <x:v>0.31441597233139446</x:v>
      </x:c>
      <x:c r="L61" s="10" t="str">
        <x:v>Allowance</x:v>
      </x:c>
      <x:c r="M61" s="10" t="str">
        <x:v>vendor_BOM row 57; schematic; ECMOS_EC50117
Original unit input: NTD 10. Converted at 31.805 NTD/USD.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
</x:v>
      </x:c>
      <x:c r="N61"/>
      <x:c r="O61"/>
    </x:row>
    <x:row r="62" ht="93" customHeight="1">
      <x:c r="A62" s="10" t="n">
        <x:v>58</x:v>
      </x:c>
      <x:c r="B62" s="10" t="str">
        <x:v>U6</x:v>
      </x:c>
      <x:c r="C62" s="10" t="str">
        <x:v>3.3 V low-noise analog-supply LDO</x:v>
      </x:c>
      <x:c r="D62" s="10" t="n">
        <x:v>1</x:v>
      </x:c>
      <x:c r="E62" s="10" t="str">
        <x:v>LP5907MFX-3.3/NOPB</x:v>
      </x:c>
      <x:c r="F62" s="10" t="str">
        <x:v>LP5907MFX-3.3/NOPB; 3.3V/250mA LDO; SOT-23-5</x:v>
      </x:c>
      <x:c r="G62" s="10" t="str">
        <x:v>5V to 3V3_ANA analog supply
Schematic page 2: 3V3 LDO</x:v>
      </x:c>
      <x:c r="H62" s="10" t="str">
        <x:v>Verify C19/C20 effective capacitance,stability and thermal load</x:v>
      </x:c>
      <x:c r="I62" s="10" t="str"/>
      <x:c r="J62" s="19" t="n">
        <x:v>0.7545983335953467</x:v>
      </x:c>
      <x:c r="K62" s="24" t="n">
        <x:f>IF(AND(ISNUMBER(J62),J62&gt;=0,ISNUMBER(D62),D62&gt;=0),J62*D62,"")</x:f>
        <x:v>0.7545983335953467</x:v>
      </x:c>
      <x:c r="L62" s="10" t="str">
        <x:v>Listed</x:v>
      </x:c>
      <x:c r="M62" s="10" t="str">
        <x:v>vendor_BOM row 58; schematic; TI_LP5907
Original unit input: NTD 24. Converted at 31.805 NTD/USD.
NTD 24 each at quantity 1.
https://www.digikey.tw/en/products/detail/texas-instruments/LP5907MFX-3-3-NOPB/3906441</x:v>
      </x:c>
      <x:c r="N62"/>
      <x:c r="O62"/>
    </x:row>
    <x:row r="63" ht="108" customHeight="1">
      <x:c r="A63" s="10" t="n">
        <x:v>59</x:v>
      </x:c>
      <x:c r="B63" s="10" t="str">
        <x:v>U7</x:v>
      </x:c>
      <x:c r="C63" s="10" t="str">
        <x:v>2.5 V precision voltage reference</x:v>
      </x:c>
      <x:c r="D63" s="10" t="n">
        <x:v>1</x:v>
      </x:c>
      <x:c r="E63" s="10" t="str">
        <x:v>LTC6655BHMS8-2.5#PBF</x:v>
      </x:c>
      <x:c r="F63" s="10" t="str">
        <x:v>LTC6655BHMS8-2.5#PBF; 2.5V reference; MSOP-8</x:v>
      </x:c>
      <x:c r="G63" s="10" t="str">
        <x:v>Provides the ADC 2.5V reference
Schematic page 2: 2V5_REF</x:v>
      </x:c>
      <x:c r="H63" s="10" t="str">
        <x:v>Verify C22/C23,layout and measured reference voltage</x:v>
      </x:c>
      <x:c r="I63" s="10" t="str"/>
      <x:c r="J63" s="19" t="n">
        <x:v>19.745323062411572</x:v>
      </x:c>
      <x:c r="K63" s="24" t="n">
        <x:f>IF(AND(ISNUMBER(J63),J63&gt;=0,ISNUMBER(D63),D63&gt;=0),J63*D63,"")</x:f>
        <x:v>19.745323062411572</x:v>
      </x:c>
      <x:c r="L63" s="10" t="str">
        <x:v>Proxy</x:v>
      </x:c>
      <x:c r="M63" s="10" t="str">
        <x:v>vendor_BOM row 59; schematic; ADI_LTC6655
Original unit input: NTD 628. Converted at 31.805 NTD/USD.
NTD 628 for cut tape. Packaging proxy for #PBF; listed no stock.
https://www.digikey.tw/en/products/detail/analog-devices-inc/LTC6655BHMS8-2-5-TRPBF/2181717</x:v>
      </x:c>
      <x:c r="N63"/>
      <x:c r="O63"/>
    </x:row>
    <x:row r="64" ht="108" customHeight="1">
      <x:c r="A64" s="10" t="n">
        <x:v>60</x:v>
      </x:c>
      <x:c r="B64" s="10" t="str">
        <x:v>U8</x:v>
      </x:c>
      <x:c r="C64" s="10" t="str">
        <x:v>Low-input-bias operational amplifier</x:v>
      </x:c>
      <x:c r="D64" s="10" t="n">
        <x:v>1</x:v>
      </x:c>
      <x:c r="E64" s="10" t="str">
        <x:v>LMP7721</x:v>
      </x:c>
      <x:c r="F64" s="10" t="str">
        <x:v>LMP7721; low-bias amplifier; SOIC-8; 1.8–5.5V</x:v>
      </x:c>
      <x:c r="G64" s="10" t="str">
        <x:v>Converts PD photocurrent to voltage
Schematic page 2: TIA</x:v>
      </x:c>
      <x:c r="H64" s="10" t="str">
        <x:v>Confirm suffix,leakage/stability and output range</x:v>
      </x:c>
      <x:c r="I64" s="10" t="str"/>
      <x:c r="J64" s="19" t="n">
        <x:v>7.105800974689514</x:v>
      </x:c>
      <x:c r="K64" s="24" t="n">
        <x:f>IF(AND(ISNUMBER(J64),J64&gt;=0,ISNUMBER(D64),D64&gt;=0),J64*D64,"")</x:f>
        <x:v>7.105800974689514</x:v>
      </x:c>
      <x:c r="L64" s="10" t="str">
        <x:v>Proxy</x:v>
      </x:c>
      <x:c r="M64" s="10" t="str">
        <x:v>vendor_BOM row 60; schematic; TI_LMP7721
Original unit input: NTD 226. Converted at 31.805 NTD/USD.
Search listing NTD 226 for MAX/NOPB. Vendor LMP7721 suffix missing; package proxy.
https://www.digikey.tw/en/products/filter/linear/amplifiers/instrumentation-op-amps-buffer-amps/687</x:v>
      </x:c>
      <x:c r="N64"/>
      <x:c r="O64"/>
    </x:row>
    <x:row r="65" ht="93" customHeight="1">
      <x:c r="A65" s="10" t="n">
        <x:v>61</x:v>
      </x:c>
      <x:c r="B65" s="10" t="str">
        <x:v>U9</x:v>
      </x:c>
      <x:c r="C65" s="10" t="str">
        <x:v>16-bit SAR analog-to-digital converter</x:v>
      </x:c>
      <x:c r="D65" s="10" t="n">
        <x:v>1</x:v>
      </x:c>
      <x:c r="E65" s="10" t="str">
        <x:v>ADS8866IDGS</x:v>
      </x:c>
      <x:c r="F65" s="10" t="str">
        <x:v>ADS8866IDGS; 16-bit SAR, 100kSPS device limit; VSSOP-10</x:v>
      </x:c>
      <x:c r="G65" s="10" t="str">
        <x:v>Digitizes TIA voltage for ESP32
Schematic page 2: ADC</x:v>
      </x:c>
      <x:c r="H65" s="10" t="str">
        <x:v>Verify sampling timing,input settling,decoupling and measured noise</x:v>
      </x:c>
      <x:c r="I65" s="10" t="str"/>
      <x:c r="J65" s="19" t="n">
        <x:v>9.62112875334067</x:v>
      </x:c>
      <x:c r="K65" s="24" t="n">
        <x:f>IF(AND(ISNUMBER(J65),J65&gt;=0,ISNUMBER(D65),D65&gt;=0),J65*D65,"")</x:f>
        <x:v>9.62112875334067</x:v>
      </x:c>
      <x:c r="L65" s="10" t="str">
        <x:v>Listed</x:v>
      </x:c>
      <x:c r="M65" s="10" t="str">
        <x:v>vendor_BOM row 61; schematic; TI_ADS8866
Original unit input: NTD 306. Converted at 31.805 NTD/USD.
NTD 306 each at quantity 1.
https://www.digikey.tw/zh/products/detail/texas-instruments/ADS8866IDGS/5176196</x:v>
      </x:c>
      <x:c r="N65"/>
      <x:c r="O65"/>
    </x:row>
    <x:row r="66" ht="54" customHeight="1">
      <x:c r="A66" s="10"/>
      <x:c r="B66" s="10"/>
      <x:c r="C66" s="10"/>
      <x:c r="D66" s="10"/>
      <x:c r="E66" s="10"/>
      <x:c r="F66" s="10"/>
      <x:c r="G66" s="10"/>
      <x:c r="H66" s="10"/>
      <x:c r="I66" s="10"/>
      <x:c r="J66" s="10"/>
      <x:c r="K66" s="10"/>
      <x:c r="L66" s="10"/>
      <x:c r="M66" s="10"/>
      <x:c r="N66"/>
      <x:c r="O66"/>
    </x:row>
    <x:row r="67" ht="54" customHeight="1">
      <x:c r="A67" s="10"/>
      <x:c r="B67" s="10"/>
      <x:c r="C67" s="10"/>
      <x:c r="D67" s="10"/>
      <x:c r="E67" s="10"/>
      <x:c r="F67" s="10"/>
      <x:c r="G67" s="10"/>
      <x:c r="H67" s="10"/>
      <x:c r="I67" s="10"/>
      <x:c r="J67" s="10"/>
      <x:c r="K67" s="10"/>
      <x:c r="L67" s="10"/>
      <x:c r="M67" s="10"/>
      <x:c r="N67"/>
      <x:c r="O67"/>
    </x:row>
    <x:row r="68" ht="54" customHeight="1">
      <x:c r="A68" s="10"/>
      <x:c r="B68" s="10"/>
      <x:c r="C68" s="10"/>
      <x:c r="D68" s="10"/>
      <x:c r="E68" s="10"/>
      <x:c r="F68" s="10"/>
      <x:c r="G68" s="10" t="str">
        <x:v>Priced materials only; U3, fabrication and assembly excluded.</x:v>
      </x:c>
      <x:c r="H68" s="10"/>
      <x:c r="I68" s="10"/>
      <x:c r="J68" s="10"/>
      <x:c r="K68" s="24" t="n">
        <x:f>SUM(K5:K65)</x:f>
        <x:v>61.436880993554496</x:v>
      </x:c>
      <x:c r="L68" s="10"/>
      <x:c r="M68" s="10"/>
      <x:c r="N68"/>
      <x:c r="O68"/>
    </x:row>
    <x:row r="69" ht="28" customHeight="1">
      <x:c r="A69" s="2"/>
      <x:c r="B69" s="2"/>
      <x:c r="C69" s="2"/>
      <x:c r="D69" s="2"/>
      <x:c r="E69" s="2"/>
      <x:c r="F69" s="2"/>
      <x:c r="G69" s="2"/>
      <x:c r="H69" s="2"/>
      <x:c r="I69" s="2"/>
      <x:c r="J69" s="2"/>
      <x:c r="K69" s="2"/>
      <x:c r="L69" s="2"/>
      <x:c r="M69" s="2"/>
      <x:c r="N69" s="2"/>
      <x:c r="O69" s="2"/>
    </x:row>
    <x:row r="70" ht="28" customHeight="1">
      <x:c r="A70" s="2"/>
      <x:c r="B70" s="2"/>
      <x:c r="C70" s="2"/>
      <x:c r="D70" s="2"/>
      <x:c r="E70" s="2"/>
      <x:c r="F70" s="2"/>
      <x:c r="G70" s="2"/>
      <x:c r="H70" s="2"/>
      <x:c r="I70" s="2"/>
      <x:c r="J70" s="2"/>
      <x:c r="K70" s="2"/>
      <x:c r="L70" s="2"/>
      <x:c r="M70" s="2"/>
      <x:c r="N70" s="2"/>
      <x:c r="O70" s="2"/>
    </x:row>
    <x:row r="71" ht="28" customHeight="1">
      <x:c r="A71" s="2"/>
      <x:c r="B71" s="2"/>
      <x:c r="C71" s="2"/>
      <x:c r="D71" s="2"/>
      <x:c r="E71" s="2"/>
      <x:c r="F71" s="2"/>
      <x:c r="G71" s="2"/>
      <x:c r="H71" s="2"/>
      <x:c r="I71" s="2"/>
      <x:c r="J71" s="2"/>
      <x:c r="K71" s="2"/>
      <x:c r="L71" s="2"/>
      <x:c r="M71" s="2"/>
      <x:c r="N71" s="2"/>
      <x:c r="O71" s="2"/>
    </x:row>
    <x:row r="72" ht="28" customHeight="1">
      <x:c r="A72" s="2"/>
      <x:c r="B72" s="2"/>
      <x:c r="C72" s="2"/>
      <x:c r="D72" s="2"/>
      <x:c r="E72" s="2"/>
      <x:c r="F72" s="2"/>
      <x:c r="G72" s="2"/>
      <x:c r="H72" s="2"/>
      <x:c r="I72" s="2"/>
      <x:c r="J72" s="2"/>
      <x:c r="K72" s="2"/>
      <x:c r="L72" s="2"/>
      <x:c r="M72" s="2"/>
      <x:c r="N72" s="2"/>
      <x:c r="O72" s="2"/>
    </x:row>
    <x:row r="73" ht="28" customHeight="1">
      <x:c r="A73" s="2"/>
      <x:c r="B73" s="2"/>
      <x:c r="C73" s="2"/>
      <x:c r="D73" s="2"/>
      <x:c r="E73" s="2"/>
      <x:c r="F73" s="2"/>
      <x:c r="G73" s="2"/>
      <x:c r="H73" s="2"/>
      <x:c r="I73" s="2"/>
      <x:c r="J73" s="2"/>
      <x:c r="K73" s="2"/>
      <x:c r="L73" s="2"/>
      <x:c r="M73" s="2"/>
      <x:c r="N73" s="2"/>
      <x:c r="O73" s="2"/>
    </x:row>
    <x:row r="74" ht="28" customHeight="1">
      <x:c r="A74" s="2"/>
      <x:c r="B74" s="2"/>
      <x:c r="C74" s="2"/>
      <x:c r="D74" s="2"/>
      <x:c r="E74" s="2"/>
      <x:c r="F74" s="2"/>
      <x:c r="G74" s="2"/>
      <x:c r="H74" s="2"/>
      <x:c r="I74" s="2"/>
      <x:c r="J74" s="2"/>
      <x:c r="K74" s="2"/>
      <x:c r="L74" s="2"/>
      <x:c r="M74" s="2"/>
      <x:c r="N74" s="2"/>
      <x:c r="O74" s="2"/>
    </x:row>
    <x:row r="75" ht="28" customHeight="1">
      <x:c r="A75" s="2"/>
      <x:c r="B75" s="2"/>
      <x:c r="C75" s="2"/>
      <x:c r="D75" s="2"/>
      <x:c r="E75" s="2"/>
      <x:c r="F75" s="2"/>
      <x:c r="G75" s="2"/>
      <x:c r="H75" s="2"/>
      <x:c r="I75" s="2"/>
      <x:c r="J75" s="2"/>
      <x:c r="K75" s="2"/>
      <x:c r="L75" s="2"/>
      <x:c r="M75" s="2"/>
      <x:c r="N75" s="2"/>
      <x:c r="O75" s="2"/>
    </x:row>
    <x:row r="76" ht="28" customHeight="1">
      <x:c r="A76" s="2"/>
      <x:c r="B76" s="2"/>
      <x:c r="C76" s="2"/>
      <x:c r="D76" s="2"/>
      <x:c r="E76" s="2"/>
      <x:c r="F76" s="2"/>
      <x:c r="G76" s="2"/>
      <x:c r="H76" s="2"/>
      <x:c r="I76" s="2"/>
      <x:c r="J76" s="2"/>
      <x:c r="K76" s="2"/>
      <x:c r="L76" s="2"/>
      <x:c r="M76" s="2"/>
      <x:c r="N76" s="2"/>
      <x:c r="O76" s="2"/>
    </x:row>
    <x:row r="77" ht="28" customHeight="1">
      <x:c r="A77" s="2"/>
      <x:c r="B77" s="2"/>
      <x:c r="C77" s="2"/>
      <x:c r="D77" s="2"/>
      <x:c r="E77" s="2"/>
      <x:c r="F77" s="2"/>
      <x:c r="G77" s="2"/>
      <x:c r="H77" s="2"/>
      <x:c r="I77" s="2"/>
      <x:c r="J77" s="2"/>
      <x:c r="K77" s="2"/>
      <x:c r="L77" s="2"/>
      <x:c r="M77" s="2"/>
      <x:c r="N77" s="2"/>
      <x:c r="O77" s="2"/>
    </x:row>
    <x:row r="78" ht="28" customHeight="1">
      <x:c r="A78" s="2"/>
      <x:c r="B78" s="2"/>
      <x:c r="C78" s="2"/>
      <x:c r="D78" s="2"/>
      <x:c r="E78" s="2"/>
      <x:c r="F78" s="2"/>
      <x:c r="G78" s="2"/>
      <x:c r="H78" s="2"/>
      <x:c r="I78" s="2"/>
      <x:c r="J78" s="2"/>
      <x:c r="K78" s="2"/>
      <x:c r="L78" s="2"/>
      <x:c r="M78" s="2"/>
      <x:c r="N78" s="2"/>
      <x:c r="O78" s="2"/>
    </x:row>
    <x:row r="79" ht="28" customHeight="1">
      <x:c r="A79" s="2"/>
      <x:c r="B79" s="2"/>
      <x:c r="C79" s="2"/>
      <x:c r="D79" s="2"/>
      <x:c r="E79" s="2"/>
      <x:c r="F79" s="2"/>
      <x:c r="G79" s="2"/>
      <x:c r="H79" s="2"/>
      <x:c r="I79" s="2"/>
      <x:c r="J79" s="2"/>
      <x:c r="K79" s="2"/>
      <x:c r="L79" s="2"/>
      <x:c r="M79" s="2"/>
      <x:c r="N79" s="2"/>
      <x:c r="O79" s="2"/>
    </x:row>
    <x:row r="80" ht="28" customHeight="1">
      <x:c r="A80" s="2"/>
      <x:c r="B80" s="2"/>
      <x:c r="C80" s="2"/>
      <x:c r="D80" s="2"/>
      <x:c r="E80" s="2"/>
      <x:c r="F80" s="2"/>
      <x:c r="G80" s="2"/>
      <x:c r="H80" s="2"/>
      <x:c r="I80" s="2"/>
      <x:c r="J80" s="2"/>
      <x:c r="K80" s="2"/>
      <x:c r="L80" s="2"/>
      <x:c r="M80" s="2"/>
      <x:c r="N80" s="2"/>
      <x:c r="O80" s="2"/>
    </x:row>
    <x:row r="81" ht="28" customHeight="1">
      <x:c r="A81" s="2"/>
      <x:c r="B81" s="2"/>
      <x:c r="C81" s="2"/>
      <x:c r="D81" s="2"/>
      <x:c r="E81" s="2"/>
      <x:c r="F81" s="2"/>
      <x:c r="G81" s="2"/>
      <x:c r="H81" s="2"/>
      <x:c r="I81" s="2"/>
      <x:c r="J81" s="2"/>
      <x:c r="K81" s="2"/>
      <x:c r="L81" s="2"/>
      <x:c r="M81" s="2"/>
      <x:c r="N81" s="2"/>
      <x:c r="O81" s="2"/>
    </x:row>
    <x:row r="82" ht="28" customHeight="1">
      <x:c r="A82" s="2"/>
      <x:c r="B82" s="2"/>
      <x:c r="C82" s="2"/>
      <x:c r="D82" s="2"/>
      <x:c r="E82" s="2"/>
      <x:c r="F82" s="2"/>
      <x:c r="G82" s="2"/>
      <x:c r="H82" s="2"/>
      <x:c r="I82" s="2"/>
      <x:c r="J82" s="2"/>
      <x:c r="K82" s="2"/>
      <x:c r="L82" s="2"/>
      <x:c r="M82" s="2"/>
      <x:c r="N82" s="2"/>
      <x:c r="O82" s="2"/>
    </x:row>
    <x:row r="83" ht="28" customHeight="1">
      <x:c r="A83" s="2"/>
      <x:c r="B83" s="2"/>
      <x:c r="C83" s="2"/>
      <x:c r="D83" s="2"/>
      <x:c r="E83" s="2"/>
      <x:c r="F83" s="2"/>
      <x:c r="G83" s="2"/>
      <x:c r="H83" s="2"/>
      <x:c r="I83" s="2"/>
      <x:c r="J83" s="2"/>
      <x:c r="K83" s="2"/>
      <x:c r="L83" s="2"/>
      <x:c r="M83" s="2"/>
      <x:c r="N83" s="2"/>
      <x:c r="O83" s="2"/>
    </x:row>
    <x:row r="84" ht="28" customHeight="1">
      <x:c r="A84" s="2"/>
      <x:c r="B84" s="2"/>
      <x:c r="C84" s="2"/>
      <x:c r="D84" s="2"/>
      <x:c r="E84" s="2"/>
      <x:c r="F84" s="2"/>
      <x:c r="G84" s="2"/>
      <x:c r="H84" s="2"/>
      <x:c r="I84" s="2"/>
      <x:c r="J84" s="2"/>
      <x:c r="K84" s="2"/>
      <x:c r="L84" s="2"/>
      <x:c r="M84" s="2"/>
      <x:c r="N84" s="2"/>
      <x:c r="O84" s="2"/>
    </x:row>
    <x:row r="85" ht="28" customHeight="1">
      <x:c r="A85" s="2"/>
      <x:c r="B85" s="2"/>
      <x:c r="C85" s="2"/>
      <x:c r="D85" s="2"/>
      <x:c r="E85" s="2"/>
      <x:c r="F85" s="2"/>
      <x:c r="G85" s="2"/>
      <x:c r="H85" s="2"/>
      <x:c r="I85" s="2"/>
      <x:c r="J85" s="2"/>
      <x:c r="K85" s="2"/>
      <x:c r="L85" s="2"/>
      <x:c r="M85" s="2"/>
      <x:c r="N85" s="2"/>
      <x:c r="O85" s="2"/>
    </x:row>
    <x:row r="86" ht="28" customHeight="1">
      <x:c r="A86" s="2"/>
      <x:c r="B86" s="2"/>
      <x:c r="C86" s="2"/>
      <x:c r="D86" s="2"/>
      <x:c r="E86" s="2"/>
      <x:c r="F86" s="2"/>
      <x:c r="G86" s="2"/>
      <x:c r="H86" s="2"/>
      <x:c r="I86" s="2"/>
      <x:c r="J86" s="2"/>
      <x:c r="K86" s="2"/>
      <x:c r="L86" s="2"/>
      <x:c r="M86" s="2"/>
      <x:c r="N86" s="2"/>
      <x:c r="O86" s="2"/>
    </x:row>
    <x:row r="87" ht="28" customHeight="1">
      <x:c r="A87" s="2"/>
      <x:c r="B87" s="2"/>
      <x:c r="C87" s="2"/>
      <x:c r="D87" s="2"/>
      <x:c r="E87" s="2"/>
      <x:c r="F87" s="2"/>
      <x:c r="G87" s="2"/>
      <x:c r="H87" s="2"/>
      <x:c r="I87" s="2"/>
      <x:c r="J87" s="2"/>
      <x:c r="K87" s="2"/>
      <x:c r="L87" s="2"/>
      <x:c r="M87" s="2"/>
      <x:c r="N87" s="2"/>
      <x:c r="O87" s="2"/>
    </x:row>
    <x:row r="88" ht="28" customHeight="1">
      <x:c r="A88" s="2"/>
      <x:c r="B88" s="2"/>
      <x:c r="C88" s="2"/>
      <x:c r="D88" s="2"/>
      <x:c r="E88" s="2"/>
      <x:c r="F88" s="2"/>
      <x:c r="G88" s="2"/>
      <x:c r="H88" s="2"/>
      <x:c r="I88" s="2"/>
      <x:c r="J88" s="2"/>
      <x:c r="K88" s="2"/>
      <x:c r="L88" s="2"/>
      <x:c r="M88" s="2"/>
      <x:c r="N88" s="2"/>
      <x:c r="O88" s="2"/>
    </x:row>
    <x:row r="89" ht="28" customHeight="1">
      <x:c r="A89" s="2"/>
      <x:c r="B89" s="2"/>
      <x:c r="C89" s="2"/>
      <x:c r="D89" s="2"/>
      <x:c r="E89" s="2"/>
      <x:c r="F89" s="2"/>
      <x:c r="G89" s="2"/>
      <x:c r="H89" s="2"/>
      <x:c r="I89" s="2"/>
      <x:c r="J89" s="2"/>
      <x:c r="K89" s="2"/>
      <x:c r="L89" s="2"/>
      <x:c r="M89" s="2"/>
      <x:c r="N89" s="2"/>
      <x:c r="O89" s="2"/>
    </x:row>
    <x:row r="90" ht="28" customHeight="1">
      <x:c r="A90" s="2"/>
      <x:c r="B90" s="2"/>
      <x:c r="C90" s="2"/>
      <x:c r="D90" s="2"/>
      <x:c r="E90" s="2"/>
      <x:c r="F90" s="2"/>
      <x:c r="G90" s="2"/>
      <x:c r="H90" s="2"/>
      <x:c r="I90" s="2"/>
      <x:c r="J90" s="2"/>
      <x:c r="K90" s="2"/>
      <x:c r="L90" s="2"/>
      <x:c r="M90" s="2"/>
      <x:c r="N90" s="2"/>
      <x:c r="O90" s="2"/>
    </x:row>
    <x:row r="91" ht="28" customHeight="1">
      <x:c r="A91" s="2"/>
      <x:c r="B91" s="2"/>
      <x:c r="C91" s="2"/>
      <x:c r="D91" s="2"/>
      <x:c r="E91" s="2"/>
      <x:c r="F91" s="2"/>
      <x:c r="G91" s="2"/>
      <x:c r="H91" s="2"/>
      <x:c r="I91" s="2"/>
      <x:c r="J91" s="2"/>
      <x:c r="K91" s="2"/>
      <x:c r="L91" s="2"/>
      <x:c r="M91" s="2"/>
      <x:c r="N91" s="2"/>
      <x:c r="O91" s="2"/>
    </x:row>
    <x:row r="92" ht="28" customHeight="1">
      <x:c r="A92" s="2"/>
      <x:c r="B92" s="2"/>
      <x:c r="C92" s="2"/>
      <x:c r="D92" s="2"/>
      <x:c r="E92" s="2"/>
      <x:c r="F92" s="2"/>
      <x:c r="G92" s="2"/>
      <x:c r="H92" s="2"/>
      <x:c r="I92" s="2"/>
      <x:c r="J92" s="2"/>
      <x:c r="K92" s="2"/>
      <x:c r="L92" s="2"/>
      <x:c r="M92" s="2"/>
      <x:c r="N92" s="2"/>
      <x:c r="O92" s="2"/>
    </x:row>
    <x:row r="93" ht="28" customHeight="1">
      <x:c r="A93" s="2"/>
      <x:c r="B93" s="2"/>
      <x:c r="C93" s="2"/>
      <x:c r="D93" s="2"/>
      <x:c r="E93" s="2"/>
      <x:c r="F93" s="2"/>
      <x:c r="G93" s="2"/>
      <x:c r="H93" s="2"/>
      <x:c r="I93" s="2"/>
      <x:c r="J93" s="2"/>
      <x:c r="K93" s="2"/>
      <x:c r="L93" s="2"/>
      <x:c r="M93" s="2"/>
      <x:c r="N93" s="2"/>
      <x:c r="O93" s="2"/>
    </x:row>
    <x:row r="94" ht="28" customHeight="1">
      <x:c r="A94" s="2"/>
      <x:c r="B94" s="2"/>
      <x:c r="C94" s="2"/>
      <x:c r="D94" s="2"/>
      <x:c r="E94" s="2"/>
      <x:c r="F94" s="2"/>
      <x:c r="G94" s="2"/>
      <x:c r="H94" s="2"/>
      <x:c r="I94" s="2"/>
      <x:c r="J94" s="2"/>
      <x:c r="K94" s="2"/>
      <x:c r="L94" s="2"/>
      <x:c r="M94" s="2"/>
      <x:c r="N94" s="2"/>
      <x:c r="O94" s="2"/>
    </x:row>
    <x:row r="95" ht="28" customHeight="1">
      <x:c r="A95" s="2"/>
      <x:c r="B95" s="2"/>
      <x:c r="C95" s="2"/>
      <x:c r="D95" s="2"/>
      <x:c r="E95" s="2"/>
      <x:c r="F95" s="2"/>
      <x:c r="G95" s="2"/>
      <x:c r="H95" s="2"/>
      <x:c r="I95" s="2"/>
      <x:c r="J95" s="2"/>
      <x:c r="K95" s="2"/>
      <x:c r="L95" s="2"/>
      <x:c r="M95" s="2"/>
      <x:c r="N95" s="2"/>
      <x:c r="O95" s="2"/>
    </x:row>
    <x:row r="96" ht="28" customHeight="1">
      <x:c r="A96" s="2"/>
      <x:c r="B96" s="2"/>
      <x:c r="C96" s="2"/>
      <x:c r="D96" s="2"/>
      <x:c r="E96" s="2"/>
      <x:c r="F96" s="2"/>
      <x:c r="G96" s="2"/>
      <x:c r="H96" s="2"/>
      <x:c r="I96" s="2"/>
      <x:c r="J96" s="2"/>
      <x:c r="K96" s="2"/>
      <x:c r="L96" s="2"/>
      <x:c r="M96" s="2"/>
      <x:c r="N96" s="2"/>
      <x:c r="O96" s="2"/>
    </x:row>
    <x:row r="97" ht="28" customHeight="1">
      <x:c r="A97" s="2"/>
      <x:c r="B97" s="2"/>
      <x:c r="C97" s="2"/>
      <x:c r="D97" s="2"/>
      <x:c r="E97" s="2"/>
      <x:c r="F97" s="2"/>
      <x:c r="G97" s="2"/>
      <x:c r="H97" s="2"/>
      <x:c r="I97" s="2"/>
      <x:c r="J97" s="2"/>
      <x:c r="K97" s="2"/>
      <x:c r="L97" s="2"/>
      <x:c r="M97" s="2"/>
      <x:c r="N97" s="2"/>
      <x:c r="O97" s="2"/>
    </x:row>
    <x:row r="98" ht="28" customHeight="1">
      <x:c r="A98" s="2"/>
      <x:c r="B98" s="2"/>
      <x:c r="C98" s="2"/>
      <x:c r="D98" s="2"/>
      <x:c r="E98" s="2"/>
      <x:c r="F98" s="2"/>
      <x:c r="G98" s="2"/>
      <x:c r="H98" s="2"/>
      <x:c r="I98" s="2"/>
      <x:c r="J98" s="2"/>
      <x:c r="K98" s="2"/>
      <x:c r="L98" s="2"/>
      <x:c r="M98" s="2"/>
      <x:c r="N98" s="2"/>
      <x:c r="O98" s="2"/>
    </x:row>
    <x:row r="99" ht="28" customHeight="1">
      <x:c r="A99" s="2"/>
      <x:c r="B99" s="2"/>
      <x:c r="C99" s="2"/>
      <x:c r="D99" s="2"/>
      <x:c r="E99" s="2"/>
      <x:c r="F99" s="2"/>
      <x:c r="G99" s="2"/>
      <x:c r="H99" s="2"/>
      <x:c r="I99" s="2"/>
      <x:c r="J99" s="2"/>
      <x:c r="K99" s="2"/>
      <x:c r="L99" s="2"/>
      <x:c r="M99" s="2"/>
      <x:c r="N99" s="2"/>
      <x:c r="O99" s="2"/>
    </x:row>
    <x:row r="100" ht="28" customHeight="1">
      <x:c r="A100" s="2"/>
      <x:c r="B100" s="2"/>
      <x:c r="C100" s="2"/>
      <x:c r="D100" s="2"/>
      <x:c r="E100" s="2"/>
      <x:c r="F100" s="2"/>
      <x:c r="G100" s="2"/>
      <x:c r="H100" s="2"/>
      <x:c r="I100" s="2"/>
      <x:c r="J100" s="2"/>
      <x:c r="K100" s="2"/>
      <x:c r="L100" s="2"/>
      <x:c r="M100" s="2"/>
      <x:c r="N100" s="2"/>
      <x:c r="O100" s="2"/>
    </x:row>
    <x:row r="101" ht="28" customHeight="1">
      <x:c r="A101" s="2"/>
      <x:c r="B101" s="2"/>
      <x:c r="C101" s="2"/>
      <x:c r="D101" s="2"/>
      <x:c r="E101" s="2"/>
      <x:c r="F101" s="2"/>
      <x:c r="G101" s="2"/>
      <x:c r="H101" s="2"/>
      <x:c r="I101" s="2"/>
      <x:c r="J101" s="2"/>
      <x:c r="K101" s="2"/>
      <x:c r="L101" s="2"/>
      <x:c r="M101" s="2"/>
      <x:c r="N101" s="2"/>
      <x:c r="O101" s="2"/>
    </x:row>
    <x:row r="102" ht="28" customHeight="1">
      <x:c r="A102" s="2"/>
      <x:c r="B102" s="2"/>
      <x:c r="C102" s="2"/>
      <x:c r="D102" s="2"/>
      <x:c r="E102" s="2"/>
      <x:c r="F102" s="2"/>
      <x:c r="G102" s="2"/>
      <x:c r="H102" s="2"/>
      <x:c r="I102" s="2"/>
      <x:c r="J102" s="2"/>
      <x:c r="K102" s="2"/>
      <x:c r="L102" s="2"/>
      <x:c r="M102" s="2"/>
      <x:c r="N102" s="2"/>
      <x:c r="O102" s="2"/>
    </x:row>
    <x:row r="103" ht="28" customHeight="1">
      <x:c r="A103" s="2"/>
      <x:c r="B103" s="2"/>
      <x:c r="C103" s="2"/>
      <x:c r="D103" s="2"/>
      <x:c r="E103" s="2"/>
      <x:c r="F103" s="2"/>
      <x:c r="G103" s="2"/>
      <x:c r="H103" s="2"/>
      <x:c r="I103" s="2"/>
      <x:c r="J103" s="2"/>
      <x:c r="K103" s="2"/>
      <x:c r="L103" s="2"/>
      <x:c r="M103" s="2"/>
      <x:c r="N103" s="2"/>
      <x:c r="O103" s="2"/>
    </x:row>
    <x:row r="104" ht="28" customHeight="1">
      <x:c r="A104" s="2"/>
      <x:c r="B104" s="2"/>
      <x:c r="C104" s="2"/>
      <x:c r="D104" s="2"/>
      <x:c r="E104" s="2"/>
      <x:c r="F104" s="2"/>
      <x:c r="G104" s="2"/>
      <x:c r="H104" s="2"/>
      <x:c r="I104" s="2"/>
      <x:c r="J104" s="2"/>
      <x:c r="K104" s="2"/>
      <x:c r="L104" s="2"/>
      <x:c r="M104" s="2"/>
      <x:c r="N104" s="2"/>
      <x:c r="O104" s="2"/>
    </x:row>
    <x:row r="105" ht="28" customHeight="1">
      <x:c r="A105" s="2"/>
      <x:c r="B105" s="2"/>
      <x:c r="C105" s="2"/>
      <x:c r="D105" s="2"/>
      <x:c r="E105" s="2"/>
      <x:c r="F105" s="2"/>
      <x:c r="G105" s="2"/>
      <x:c r="H105" s="2"/>
      <x:c r="I105" s="2"/>
      <x:c r="J105" s="2"/>
      <x:c r="K105" s="2"/>
      <x:c r="L105" s="2"/>
      <x:c r="M105" s="2"/>
      <x:c r="N105" s="2"/>
      <x:c r="O105" s="2"/>
    </x:row>
    <x:row r="106" ht="28" customHeight="1">
      <x:c r="A106" s="2"/>
      <x:c r="B106" s="2"/>
      <x:c r="C106" s="2"/>
      <x:c r="D106" s="2"/>
      <x:c r="E106" s="2"/>
      <x:c r="F106" s="2"/>
      <x:c r="G106" s="2"/>
      <x:c r="H106" s="2"/>
      <x:c r="I106" s="2"/>
      <x:c r="J106" s="2"/>
      <x:c r="K106" s="2"/>
      <x:c r="L106" s="2"/>
      <x:c r="M106" s="2"/>
      <x:c r="N106" s="2"/>
      <x:c r="O106" s="2"/>
    </x:row>
    <x:row r="107" ht="28" customHeight="1">
      <x:c r="A107" s="2"/>
      <x:c r="B107" s="2"/>
      <x:c r="C107" s="2"/>
      <x:c r="D107" s="2"/>
      <x:c r="E107" s="2"/>
      <x:c r="F107" s="2"/>
      <x:c r="G107" s="2"/>
      <x:c r="H107" s="2"/>
      <x:c r="I107" s="2"/>
      <x:c r="J107" s="2"/>
      <x:c r="K107" s="2"/>
      <x:c r="L107" s="2"/>
      <x:c r="M107" s="2"/>
      <x:c r="N107" s="2"/>
      <x:c r="O107" s="2"/>
    </x:row>
    <x:row r="108" ht="28" customHeight="1">
      <x:c r="A108" s="2"/>
      <x:c r="B108" s="2"/>
      <x:c r="C108" s="2"/>
      <x:c r="D108" s="2"/>
      <x:c r="E108" s="2"/>
      <x:c r="F108" s="2"/>
      <x:c r="G108" s="2"/>
      <x:c r="H108" s="2"/>
      <x:c r="I108" s="2"/>
      <x:c r="J108" s="2"/>
      <x:c r="K108" s="2"/>
      <x:c r="L108" s="2"/>
      <x:c r="M108" s="2"/>
      <x:c r="N108" s="2"/>
      <x:c r="O108" s="2"/>
    </x:row>
    <x:row r="109" ht="28" customHeight="1">
      <x:c r="A109" s="2"/>
      <x:c r="B109" s="2"/>
      <x:c r="C109" s="2"/>
      <x:c r="D109" s="2"/>
      <x:c r="E109" s="2"/>
      <x:c r="F109" s="2"/>
      <x:c r="G109" s="2"/>
      <x:c r="H109" s="2"/>
      <x:c r="I109" s="2"/>
      <x:c r="J109" s="2"/>
      <x:c r="K109" s="2"/>
      <x:c r="L109" s="2"/>
      <x:c r="M109" s="2"/>
      <x:c r="N109" s="2"/>
      <x:c r="O109" s="2"/>
    </x:row>
    <x:row r="110" ht="28" customHeight="1">
      <x:c r="A110" s="2"/>
      <x:c r="B110" s="2"/>
      <x:c r="C110" s="2"/>
      <x:c r="D110" s="2"/>
      <x:c r="E110" s="2"/>
      <x:c r="F110" s="2"/>
      <x:c r="G110" s="2"/>
      <x:c r="H110" s="2"/>
      <x:c r="I110" s="2"/>
      <x:c r="J110" s="2"/>
      <x:c r="K110" s="2"/>
      <x:c r="L110" s="2"/>
      <x:c r="M110" s="2"/>
      <x:c r="N110" s="2"/>
      <x:c r="O110" s="2"/>
    </x:row>
    <x:row r="111" ht="28" customHeight="1">
      <x:c r="A111" s="2"/>
      <x:c r="B111" s="2"/>
      <x:c r="C111" s="2"/>
      <x:c r="D111" s="2"/>
      <x:c r="E111" s="2"/>
      <x:c r="F111" s="2"/>
      <x:c r="G111" s="2"/>
      <x:c r="H111" s="2"/>
      <x:c r="I111" s="2"/>
      <x:c r="J111" s="2"/>
      <x:c r="K111" s="2"/>
      <x:c r="L111" s="2"/>
      <x:c r="M111" s="2"/>
      <x:c r="N111" s="2"/>
      <x:c r="O111" s="2"/>
    </x:row>
    <x:row r="112" ht="28" customHeight="1">
      <x:c r="A112" s="2"/>
      <x:c r="B112" s="2"/>
      <x:c r="C112" s="2"/>
      <x:c r="D112" s="2"/>
      <x:c r="E112" s="2"/>
      <x:c r="F112" s="2"/>
      <x:c r="G112" s="2"/>
      <x:c r="H112" s="2"/>
      <x:c r="I112" s="2"/>
      <x:c r="J112" s="2"/>
      <x:c r="K112" s="2"/>
      <x:c r="L112" s="2"/>
      <x:c r="M112" s="2"/>
      <x:c r="N112" s="2"/>
      <x:c r="O112" s="2"/>
    </x:row>
    <x:row r="113" ht="28" customHeight="1">
      <x:c r="A113" s="2"/>
      <x:c r="B113" s="2"/>
      <x:c r="C113" s="2"/>
      <x:c r="D113" s="2"/>
      <x:c r="E113" s="2"/>
      <x:c r="F113" s="2"/>
      <x:c r="G113" s="2"/>
      <x:c r="H113" s="2"/>
      <x:c r="I113" s="2"/>
      <x:c r="J113" s="2"/>
      <x:c r="K113" s="2"/>
      <x:c r="L113" s="2"/>
      <x:c r="M113" s="2"/>
      <x:c r="N113" s="2"/>
      <x:c r="O113" s="2"/>
    </x:row>
    <x:row r="114" ht="28" customHeight="1">
      <x:c r="A114" s="2"/>
      <x:c r="B114" s="2"/>
      <x:c r="C114" s="2"/>
      <x:c r="D114" s="2"/>
      <x:c r="E114" s="2"/>
      <x:c r="F114" s="2"/>
      <x:c r="G114" s="2"/>
      <x:c r="H114" s="2"/>
      <x:c r="I114" s="2"/>
      <x:c r="J114" s="2"/>
      <x:c r="K114" s="2"/>
      <x:c r="L114" s="2"/>
      <x:c r="M114" s="2"/>
      <x:c r="N114" s="2"/>
      <x:c r="O114" s="2"/>
    </x:row>
    <x:row r="115" ht="28" customHeight="1">
      <x:c r="A115" s="2"/>
      <x:c r="B115" s="2"/>
      <x:c r="C115" s="2"/>
      <x:c r="D115" s="2"/>
      <x:c r="E115" s="2"/>
      <x:c r="F115" s="2"/>
      <x:c r="G115" s="2"/>
      <x:c r="H115" s="2"/>
      <x:c r="I115" s="2"/>
      <x:c r="J115" s="2"/>
      <x:c r="K115" s="2"/>
      <x:c r="L115" s="2"/>
      <x:c r="M115" s="2"/>
      <x:c r="N115" s="2"/>
      <x:c r="O115" s="2"/>
    </x:row>
    <x:row r="116" ht="28" customHeight="1">
      <x:c r="A116" s="2"/>
      <x:c r="B116" s="2"/>
      <x:c r="C116" s="2"/>
      <x:c r="D116" s="2"/>
      <x:c r="E116" s="2"/>
      <x:c r="F116" s="2"/>
      <x:c r="G116" s="2"/>
      <x:c r="H116" s="2"/>
      <x:c r="I116" s="2"/>
      <x:c r="J116" s="2"/>
      <x:c r="K116" s="2"/>
      <x:c r="L116" s="2"/>
      <x:c r="M116" s="2"/>
      <x:c r="N116" s="2"/>
      <x:c r="O116" s="2"/>
    </x:row>
    <x:row r="117" ht="28" customHeight="1">
      <x:c r="A117" s="2"/>
      <x:c r="B117" s="2"/>
      <x:c r="C117" s="2"/>
      <x:c r="D117" s="2"/>
      <x:c r="E117" s="2"/>
      <x:c r="F117" s="2"/>
      <x:c r="G117" s="2"/>
      <x:c r="H117" s="2"/>
      <x:c r="I117" s="2"/>
      <x:c r="J117" s="2"/>
      <x:c r="K117" s="2"/>
      <x:c r="L117" s="2"/>
      <x:c r="M117" s="2"/>
      <x:c r="N117" s="2"/>
      <x:c r="O117" s="2"/>
    </x:row>
    <x:row r="118" ht="28" customHeight="1">
      <x:c r="A118" s="2"/>
      <x:c r="B118" s="2"/>
      <x:c r="C118" s="2"/>
      <x:c r="D118" s="2"/>
      <x:c r="E118" s="2"/>
      <x:c r="F118" s="2"/>
      <x:c r="G118" s="2"/>
      <x:c r="H118" s="2"/>
      <x:c r="I118" s="2"/>
      <x:c r="J118" s="2"/>
      <x:c r="K118" s="2"/>
      <x:c r="L118" s="2"/>
      <x:c r="M118" s="2"/>
      <x:c r="N118" s="2"/>
      <x:c r="O118" s="2"/>
    </x:row>
    <x:row r="119" ht="28" customHeight="1">
      <x:c r="A119" s="2"/>
      <x:c r="B119" s="2"/>
      <x:c r="C119" s="2"/>
      <x:c r="D119" s="2"/>
      <x:c r="E119" s="2"/>
      <x:c r="F119" s="2"/>
      <x:c r="G119" s="2"/>
      <x:c r="H119" s="2"/>
      <x:c r="I119" s="2"/>
      <x:c r="J119" s="2"/>
      <x:c r="K119" s="2"/>
      <x:c r="L119" s="2"/>
      <x:c r="M119" s="2"/>
      <x:c r="N119" s="2"/>
      <x:c r="O119" s="2"/>
    </x:row>
    <x:row r="120" ht="28" customHeight="1">
      <x:c r="A120" s="2"/>
      <x:c r="B120" s="2"/>
      <x:c r="C120" s="2"/>
      <x:c r="D120" s="2"/>
      <x:c r="E120" s="2"/>
      <x:c r="F120" s="2"/>
      <x:c r="G120" s="2"/>
      <x:c r="H120" s="2"/>
      <x:c r="I120" s="2"/>
      <x:c r="J120" s="2"/>
      <x:c r="K120" s="2"/>
      <x:c r="L120" s="2"/>
      <x:c r="M120" s="2"/>
      <x:c r="N120" s="2"/>
      <x:c r="O120" s="2"/>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0" hidden="0" customWidth="1"/>
    <x:col min="2" max="2" width="24" hidden="0" customWidth="1"/>
    <x:col min="3" max="3" width="14" hidden="0" customWidth="1"/>
    <x:col min="4" max="4" width="15" hidden="0" customWidth="1"/>
    <x:col min="5" max="5" width="17" hidden="0" customWidth="1"/>
    <x:col min="6" max="6" width="16" hidden="0" customWidth="1"/>
    <x:col min="7" max="7" width="18" hidden="0" customWidth="1"/>
    <x:col min="8" max="8" width="18" hidden="0" customWidth="1"/>
    <x:col min="9" max="9" width="18" hidden="0" customWidth="1"/>
    <x:col min="10" max="10" width="18" hidden="0" customWidth="1"/>
    <x:col min="11" max="11" width="20" hidden="0" customWidth="1"/>
    <x:col min="12" max="12" width="19" hidden="0" customWidth="1"/>
  </x:cols>
  <x:sheetData>
    <x:row r="1" ht="28" customHeight="1">
      <x:c r="A1" s="2"/>
      <x:c r="B1" s="2"/>
      <x:c r="C1" s="2"/>
      <x:c r="D1" s="2"/>
      <x:c r="E1" s="2"/>
      <x:c r="F1" s="2"/>
      <x:c r="G1" s="2"/>
      <x:c r="H1" s="2"/>
      <x:c r="I1" s="2"/>
      <x:c r="J1" s="2"/>
      <x:c r="K1" s="2"/>
      <x:c r="L1" s="2"/>
    </x:row>
    <x:row r="2" ht="28" customHeight="1">
      <x:c r="A2" s="3" t="str">
        <x:v>Three print batches</x:v>
      </x:c>
      <x:c r="B2" s="2"/>
      <x:c r="C2" s="2"/>
      <x:c r="D2" s="2"/>
      <x:c r="E2" s="2"/>
      <x:c r="F2" s="2"/>
      <x:c r="G2" s="2"/>
      <x:c r="H2" s="2"/>
      <x:c r="I2" s="2"/>
      <x:c r="J2" s="2"/>
      <x:c r="K2" s="2"/>
      <x:c r="L2" s="2"/>
    </x:row>
    <x:row r="3" ht="28" customHeight="1">
      <x:c r="A3" s="4" t="str">
        <x:v>All monetary terms converted to USD; the original printing formula and three batches are preserved.</x:v>
      </x:c>
      <x:c r="B3" s="2"/>
      <x:c r="C3" s="2"/>
      <x:c r="D3" s="2"/>
      <x:c r="E3" s="2"/>
      <x:c r="F3" s="2"/>
      <x:c r="G3" s="2"/>
      <x:c r="H3" s="2"/>
      <x:c r="I3" s="2"/>
      <x:c r="J3" s="2"/>
      <x:c r="K3" s="2"/>
      <x:c r="L3" s="2"/>
    </x:row>
    <x:row r="4" ht="48" customHeight="1">
      <x:c r="A4" s="23" t="str">
        <x:v>Batch</x:v>
      </x:c>
      <x:c r="B4" s="23" t="str">
        <x:v>Included IDs</x:v>
      </x:c>
      <x:c r="C4" s="23" t="str">
        <x:v>min</x:v>
      </x:c>
      <x:c r="D4" s="23" t="str">
        <x:v>h</x:v>
      </x:c>
      <x:c r="E4" s="23" t="str">
        <x:v>mL</x:v>
      </x:c>
      <x:c r="F4" s="23" t="str">
        <x:v>g</x:v>
      </x:c>
      <x:c r="G4" s="23" t="str">
        <x:v>Source resin USD</x:v>
      </x:c>
      <x:c r="H4" s="23" t="str">
        <x:v>Resin term USD</x:v>
      </x:c>
      <x:c r="I4" s="23" t="str">
        <x:v>Time term USD</x:v>
      </x:c>
      <x:c r="J4" s="23" t="str">
        <x:v>Fixed term USD</x:v>
      </x:c>
      <x:c r="K4" s="23" t="str">
        <x:v>Total USD</x:v>
      </x:c>
      <x:c r="L4"/>
    </x:row>
    <x:row r="5" ht="48" customHeight="1">
      <x:c r="A5" s="10" t="str">
        <x:v>P1</x:v>
      </x:c>
      <x:c r="B5" s="10" t="str">
        <x:v>01</x:v>
      </x:c>
      <x:c r="C5" s="10" t="n">
        <x:v>1055</x:v>
      </x:c>
      <x:c r="D5" s="10" t="n">
        <x:f>IF(AND(ISNUMBER(C5),C5&gt;=0),C5/60,"")</x:f>
        <x:v>17.583333333333332</x:v>
      </x:c>
      <x:c r="E5" s="10" t="n">
        <x:v>107.531</x:v>
      </x:c>
      <x:c r="F5" s="10" t="n">
        <x:v>118.285</x:v>
      </x:c>
      <x:c r="G5" s="24" t="n">
        <x:v>8.181921081590945</x:v>
      </x:c>
      <x:c r="H5" s="24" t="n">
        <x:f>IF(AND(ISNUMBER(G5),G5&gt;=0,ISNUMBER($B$14),$B$14&gt;=0),G5*$B$14,"")</x:f>
        <x:v>9.00011318975004</x:v>
      </x:c>
      <x:c r="I5" s="24" t="n">
        <x:f>IF(AND(ISNUMBER(D5),ISNUMBER($B$15),$B$15&gt;=0),D5*$B$15,"")</x:f>
        <x:v>3.97774196929204</x:v>
      </x:c>
      <x:c r="J5" s="24" t="n">
        <x:f>IF(AND(ISNUMBER($B$13),$B$13&gt;=0),$B$13,"")</x:f>
        <x:v>0.7860399308284861</x:v>
      </x:c>
      <x:c r="K5" s="24" t="n">
        <x:f>IF(AND(COUNT(H5:J5)=3,ISNUMBER($B$12),$B$12&gt;=0),$B$12*SUM(H5:J5),"")</x:f>
        <x:v>16.51667410784468</x:v>
      </x:c>
      <x:c r="L5"/>
    </x:row>
    <x:row r="6" ht="48" customHeight="1">
      <x:c r="A6" s="10" t="str">
        <x:v>P2</x:v>
      </x:c>
      <x:c r="B6" s="10" t="str">
        <x:v>02 + 03 + 08</x:v>
      </x:c>
      <x:c r="C6" s="10" t="n">
        <x:v>979</x:v>
      </x:c>
      <x:c r="D6" s="10" t="n">
        <x:f>IF(AND(ISNUMBER(C6),C6&gt;=0),C6/60,"")</x:f>
        <x:v>16.316666666666666</x:v>
      </x:c>
      <x:c r="E6" s="10" t="n">
        <x:v>114.027</x:v>
      </x:c>
      <x:c r="F6" s="10" t="n">
        <x:v>125.43</x:v>
      </x:c>
      <x:c r="G6" s="24" t="n">
        <x:v>8.676151548498664</x:v>
      </x:c>
      <x:c r="H6" s="24" t="n">
        <x:f>IF(AND(ISNUMBER(G6),G6&gt;=0,ISNUMBER($B$14),$B$14&gt;=0),G6*$B$14,"")</x:f>
        <x:v>9.543766703348531</x:v>
      </x:c>
      <x:c r="I6" s="24" t="n">
        <x:f>IF(AND(ISNUMBER(D6),ISNUMBER($B$15),$B$15&gt;=0),D6*$B$15,"")</x:f>
        <x:v>3.691193732641618</x:v>
      </x:c>
      <x:c r="J6" s="24" t="n">
        <x:f>IF(AND(ISNUMBER($B$13),$B$13&gt;=0),$B$13,"")</x:f>
        <x:v>0.7860399308284861</x:v>
      </x:c>
      <x:c r="K6" s="24" t="n">
        <x:f>IF(AND(COUNT(H6:J6)=3,ISNUMBER($B$12),$B$12&gt;=0),$B$12*SUM(H6:J6),"")</x:f>
        <x:v>16.825200440182364</x:v>
      </x:c>
      <x:c r="L6"/>
    </x:row>
    <x:row r="7" ht="48" customHeight="1">
      <x:c r="A7" s="10" t="str">
        <x:v>P3</x:v>
      </x:c>
      <x:c r="B7" s="10" t="str">
        <x:v>04 + 05 + 06 + 07</x:v>
      </x:c>
      <x:c r="C7" s="10" t="n">
        <x:v>162</x:v>
      </x:c>
      <x:c r="D7" s="10" t="n">
        <x:f>IF(AND(ISNUMBER(C7),C7&gt;=0),C7/60,"")</x:f>
        <x:v>2.7</x:v>
      </x:c>
      <x:c r="E7" s="10" t="n">
        <x:v>1.198</x:v>
      </x:c>
      <x:c r="F7" s="10" t="n">
        <x:v>1.318</x:v>
      </x:c>
      <x:c r="G7" s="24" t="n">
        <x:v>0.038956138971859774</x:v>
      </x:c>
      <x:c r="H7" s="24" t="n">
        <x:f>IF(AND(ISNUMBER(G7),G7&gt;=0,ISNUMBER($B$14),$B$14&gt;=0),G7*$B$14,"")</x:f>
        <x:v>0.04285175286904575</x:v>
      </x:c>
      <x:c r="I7" s="24" t="n">
        <x:f>IF(AND(ISNUMBER(D7),ISNUMBER($B$15),$B$15&gt;=0),D7*$B$15,"")</x:f>
        <x:v>0.6108001886495834</x:v>
      </x:c>
      <x:c r="J7" s="24" t="n">
        <x:f>IF(AND(ISNUMBER($B$13),$B$13&gt;=0),$B$13,"")</x:f>
        <x:v>0.7860399308284861</x:v>
      </x:c>
      <x:c r="K7" s="24" t="n">
        <x:f>IF(AND(COUNT(H7:J7)=3,ISNUMBER($B$12),$B$12&gt;=0),$B$12*SUM(H7:J7),"")</x:f>
        <x:v>1.7276302468165383</x:v>
      </x:c>
      <x:c r="L7"/>
    </x:row>
    <x:row r="8" ht="54" customHeight="1">
      <x:c r="A8" s="10" t="str">
        <x:v>Total</x:v>
      </x:c>
      <x:c r="B8" s="10"/>
      <x:c r="C8" s="10" t="n">
        <x:f>IF(COUNT(C5:C7)=3,SUM(C5:C7),"")</x:f>
        <x:v>2196</x:v>
      </x:c>
      <x:c r="D8" s="10" t="n">
        <x:f>IF(COUNT(D5:D7)=3,SUM(D5:D7),"")</x:f>
        <x:v>36.6</x:v>
      </x:c>
      <x:c r="E8" s="10" t="n">
        <x:f>IF(COUNT(E5:E7)=3,SUM(E5:E7),"")</x:f>
        <x:v>222.756</x:v>
      </x:c>
      <x:c r="F8" s="10" t="n">
        <x:f>IF(COUNT(F5:F7)=3,SUM(F5:F7),"")</x:f>
        <x:v>245.03300000000002</x:v>
      </x:c>
      <x:c r="G8" s="24" t="n">
        <x:f>IF(COUNT(G5:G7)=3,SUM(G5:G7),"")</x:f>
        <x:v>16.897028769061468</x:v>
      </x:c>
      <x:c r="H8" s="24" t="n">
        <x:f>IF(COUNT(H5:H7)=3,SUM(H5:H7),"")</x:f>
        <x:v>18.586731645967614</x:v>
      </x:c>
      <x:c r="I8" s="24" t="n">
        <x:f>IF(COUNT(I5:I7)=3,SUM(I5:I7),"")</x:f>
        <x:v>8.279735890583241</x:v>
      </x:c>
      <x:c r="J8" s="24" t="n">
        <x:f>IF(COUNT(J5:J7)=3,SUM(J5:J7),"")</x:f>
        <x:v>2.3581197924854584</x:v>
      </x:c>
      <x:c r="K8" s="24" t="n">
        <x:f>IF(COUNT(K5:K7)=3,SUM(K5:K7),"")</x:f>
        <x:v>35.06950479484358</x:v>
      </x:c>
      <x:c r="L8"/>
    </x:row>
    <x:row r="9" ht="54" customHeight="1">
      <x:c r="A9" s="10"/>
      <x:c r="B9" s="10"/>
      <x:c r="C9" s="10"/>
      <x:c r="D9" s="10"/>
      <x:c r="E9" s="10"/>
      <x:c r="F9" s="10"/>
      <x:c r="G9" s="10"/>
      <x:c r="H9" s="10"/>
      <x:c r="I9" s="10"/>
      <x:c r="J9" s="10"/>
      <x:c r="K9" s="10"/>
      <x:c r="L9"/>
    </x:row>
    <x:row r="10" ht="54" customHeight="1">
      <x:c r="A10" s="10"/>
      <x:c r="B10" s="10"/>
      <x:c r="C10" s="10"/>
      <x:c r="D10" s="10"/>
      <x:c r="E10" s="10"/>
      <x:c r="F10" s="10"/>
      <x:c r="G10" s="10"/>
      <x:c r="H10" s="10"/>
      <x:c r="I10" s="10"/>
      <x:c r="J10" s="10"/>
      <x:c r="K10" s="10"/>
      <x:c r="L10"/>
    </x:row>
    <x:row r="11" ht="54" customHeight="1">
      <x:c r="A11" s="10" t="str">
        <x:v>Coefficient</x:v>
      </x:c>
      <x:c r="B11" s="10" t="str">
        <x:v>Value</x:v>
      </x:c>
      <x:c r="C11" s="10"/>
      <x:c r="D11" s="10"/>
      <x:c r="E11" s="10"/>
      <x:c r="F11" s="10"/>
      <x:c r="G11" s="10"/>
      <x:c r="H11" s="10"/>
      <x:c r="I11" s="10"/>
      <x:c r="J11" s="10"/>
      <x:c r="K11" s="10"/>
      <x:c r="L11"/>
    </x:row>
    <x:row r="12" ht="54" customHeight="1">
      <x:c r="A12" s="10" t="str">
        <x:v>Outer</x:v>
      </x:c>
      <x:c r="B12" s="18" t="n">
        <x:v>1.2</x:v>
      </x:c>
      <x:c r="C12" s="10"/>
      <x:c r="D12" s="10" t="str">
        <x:v>USD total = outer × (fixed USD + resin USD × multiplier + hours × USD/hour)</x:v>
      </x:c>
      <x:c r="E12" s="10"/>
      <x:c r="F12" s="10"/>
      <x:c r="G12" s="10"/>
      <x:c r="H12" s="10"/>
      <x:c r="I12" s="10"/>
      <x:c r="J12" s="10"/>
      <x:c r="K12" s="10"/>
      <x:c r="L12"/>
    </x:row>
    <x:row r="13" ht="54" customHeight="1">
      <x:c r="A13" s="10" t="str">
        <x:v>Fixed USD</x:v>
      </x:c>
      <x:c r="B13" s="19" t="n">
        <x:v>0.7860399308284861</x:v>
      </x:c>
      <x:c r="C13" s="10"/>
      <x:c r="D13" s="10"/>
      <x:c r="E13" s="10"/>
      <x:c r="F13" s="10"/>
      <x:c r="G13" s="10"/>
      <x:c r="H13" s="10"/>
      <x:c r="I13" s="10"/>
      <x:c r="J13" s="10"/>
      <x:c r="K13" s="10"/>
      <x:c r="L13"/>
    </x:row>
    <x:row r="14" ht="54" customHeight="1">
      <x:c r="A14" s="10" t="str">
        <x:v>Resin multiplier</x:v>
      </x:c>
      <x:c r="B14" s="18" t="n">
        <x:v>1.1</x:v>
      </x:c>
      <x:c r="C14" s="10"/>
      <x:c r="D14" s="10" t="str">
        <x:v>Combined batches keep one batch cost. No invented per-part prices.</x:v>
      </x:c>
      <x:c r="E14" s="10"/>
      <x:c r="F14" s="10"/>
      <x:c r="G14" s="10"/>
      <x:c r="H14" s="10"/>
      <x:c r="I14" s="10"/>
      <x:c r="J14" s="10"/>
      <x:c r="K14" s="10"/>
      <x:c r="L14"/>
    </x:row>
    <x:row r="15" ht="54" customHeight="1">
      <x:c r="A15" s="10" t="str">
        <x:v>Time USD/h</x:v>
      </x:c>
      <x:c r="B15" s="25" t="n">
        <x:v>0.2262222920924383</x:v>
      </x:c>
      <x:c r="C15" s="10"/>
      <x:c r="D15" s="10"/>
      <x:c r="E15" s="10"/>
      <x:c r="F15" s="10"/>
      <x:c r="G15" s="10"/>
      <x:c r="H15" s="10"/>
      <x:c r="I15" s="10"/>
      <x:c r="J15" s="10"/>
      <x:c r="K15" s="10"/>
      <x:c r="L15"/>
    </x:row>
    <x:row r="16" ht="54" customHeight="1">
      <x:c r="A16" s="10"/>
      <x:c r="B16" s="10"/>
      <x:c r="C16" s="10"/>
      <x:c r="D16" s="10" t="str">
        <x:v>Print source archived in Notes: fixed NTD 25; time NTD 7.195/h; resin NTD 260.226, 275.945, 1.239. Conversion 31.805 NTD/USD.</x:v>
      </x:c>
      <x:c r="E16" s="10"/>
      <x:c r="F16" s="10"/>
      <x:c r="G16" s="10"/>
      <x:c r="H16" s="10"/>
      <x:c r="I16" s="10"/>
      <x:c r="J16" s="10"/>
      <x:c r="K16" s="10"/>
      <x:c r="L16"/>
    </x:row>
    <x:row r="17" ht="54" customHeight="1">
      <x:c r="A17" s="10"/>
      <x:c r="B17" s="10"/>
      <x:c r="C17" s="10"/>
      <x:c r="D17" s="10"/>
      <x:c r="E17" s="10"/>
      <x:c r="F17" s="10"/>
      <x:c r="G17" s="10"/>
      <x:c r="H17" s="10"/>
      <x:c r="I17" s="10"/>
      <x:c r="J17" s="10"/>
      <x:c r="K17" s="10"/>
      <x:c r="L17"/>
    </x:row>
    <x:row r="18" ht="54" customHeight="1">
      <x:c r="A18" s="10"/>
      <x:c r="B18" s="10"/>
      <x:c r="C18" s="10"/>
      <x:c r="D18" s="10"/>
      <x:c r="E18" s="10"/>
      <x:c r="F18" s="10"/>
      <x:c r="G18" s="10"/>
      <x:c r="H18" s="10"/>
      <x:c r="I18" s="10"/>
      <x:c r="J18" s="10"/>
      <x:c r="K18" s="10"/>
      <x:c r="L18"/>
    </x:row>
    <x:row r="19" ht="28" customHeight="1">
      <x:c r="A19" s="2"/>
      <x:c r="B19" s="2"/>
      <x:c r="C19" s="2"/>
      <x:c r="D19" s="2"/>
      <x:c r="E19" s="2"/>
      <x:c r="F19" s="2"/>
      <x:c r="G19" s="2"/>
      <x:c r="H19" s="2"/>
      <x:c r="I19" s="2"/>
      <x:c r="J19" s="2"/>
      <x:c r="K19" s="2"/>
      <x:c r="L19" s="2"/>
    </x:row>
    <x:row r="20" ht="28" customHeight="1">
      <x:c r="A20" s="2"/>
      <x:c r="B20" s="2"/>
      <x:c r="C20" s="2"/>
      <x:c r="D20" s="2"/>
      <x:c r="E20" s="2"/>
      <x:c r="F20" s="2"/>
      <x:c r="G20" s="2"/>
      <x:c r="H20" s="2"/>
      <x:c r="I20" s="2"/>
      <x:c r="J20" s="2"/>
      <x:c r="K20" s="2"/>
      <x:c r="L20" s="2"/>
    </x:row>
    <x:row r="21" ht="28" customHeight="1">
      <x:c r="A21" s="2"/>
      <x:c r="B21" s="2"/>
      <x:c r="C21" s="2"/>
      <x:c r="D21" s="2"/>
      <x:c r="E21" s="2"/>
      <x:c r="F21" s="2"/>
      <x:c r="G21" s="2"/>
      <x:c r="H21" s="2"/>
      <x:c r="I21" s="2"/>
      <x:c r="J21" s="2"/>
      <x:c r="K21" s="2"/>
      <x:c r="L21" s="2"/>
    </x:row>
    <x:row r="22" ht="28" customHeight="1">
      <x:c r="A22" s="2"/>
      <x:c r="B22" s="2"/>
      <x:c r="C22" s="2"/>
      <x:c r="D22" s="2"/>
      <x:c r="E22" s="2"/>
      <x:c r="F22" s="2"/>
      <x:c r="G22" s="2"/>
      <x:c r="H22" s="2"/>
      <x:c r="I22" s="2"/>
      <x:c r="J22" s="2"/>
      <x:c r="K22" s="2"/>
      <x:c r="L22" s="2"/>
    </x:row>
    <x:row r="23" ht="28" customHeight="1">
      <x:c r="A23" s="2"/>
      <x:c r="B23" s="2"/>
      <x:c r="C23" s="2"/>
      <x:c r="D23" s="2"/>
      <x:c r="E23" s="2"/>
      <x:c r="F23" s="2"/>
      <x:c r="G23" s="2"/>
      <x:c r="H23" s="2"/>
      <x:c r="I23" s="2"/>
      <x:c r="J23" s="2"/>
      <x:c r="K23" s="2"/>
      <x:c r="L23" s="2"/>
    </x:row>
    <x:row r="24" ht="28" customHeight="1">
      <x:c r="A24" s="2"/>
      <x:c r="B24" s="2"/>
      <x:c r="C24" s="2"/>
      <x:c r="D24" s="2"/>
      <x:c r="E24" s="2"/>
      <x:c r="F24" s="2"/>
      <x:c r="G24" s="2"/>
      <x:c r="H24" s="2"/>
      <x:c r="I24" s="2"/>
      <x:c r="J24" s="2"/>
      <x:c r="K24" s="2"/>
      <x:c r="L24" s="2"/>
    </x:row>
    <x:row r="25" ht="28" customHeight="1">
      <x:c r="A25" s="2"/>
      <x:c r="B25" s="2"/>
      <x:c r="C25" s="2"/>
      <x:c r="D25" s="2"/>
      <x:c r="E25" s="2"/>
      <x:c r="F25" s="2"/>
      <x:c r="G25" s="2"/>
      <x:c r="H25" s="2"/>
      <x:c r="I25" s="2"/>
      <x:c r="J25" s="2"/>
      <x:c r="K25" s="2"/>
      <x:c r="L25" s="2"/>
    </x:row>
    <x:row r="26" ht="28" customHeight="1">
      <x:c r="A26" s="2"/>
      <x:c r="B26" s="2"/>
      <x:c r="C26" s="2"/>
      <x:c r="D26" s="2"/>
      <x:c r="E26" s="2"/>
      <x:c r="F26" s="2"/>
      <x:c r="G26" s="2"/>
      <x:c r="H26" s="2"/>
      <x:c r="I26" s="2"/>
      <x:c r="J26" s="2"/>
      <x:c r="K26" s="2"/>
      <x:c r="L26" s="2"/>
    </x:row>
    <x:row r="27" ht="28" customHeight="1">
      <x:c r="A27" s="2"/>
      <x:c r="B27" s="2"/>
      <x:c r="C27" s="2"/>
      <x:c r="D27" s="2"/>
      <x:c r="E27" s="2"/>
      <x:c r="F27" s="2"/>
      <x:c r="G27" s="2"/>
      <x:c r="H27" s="2"/>
      <x:c r="I27" s="2"/>
      <x:c r="J27" s="2"/>
      <x:c r="K27" s="2"/>
      <x:c r="L27" s="2"/>
    </x:row>
    <x:row r="28" ht="28" customHeight="1">
      <x:c r="A28" s="2"/>
      <x:c r="B28" s="2"/>
      <x:c r="C28" s="2"/>
      <x:c r="D28" s="2"/>
      <x:c r="E28" s="2"/>
      <x:c r="F28" s="2"/>
      <x:c r="G28" s="2"/>
      <x:c r="H28" s="2"/>
      <x:c r="I28" s="2"/>
      <x:c r="J28" s="2"/>
      <x:c r="K28" s="2"/>
      <x:c r="L28" s="2"/>
    </x:row>
    <x:row r="29" ht="28" customHeight="1">
      <x:c r="A29" s="2"/>
      <x:c r="B29" s="2"/>
      <x:c r="C29" s="2"/>
      <x:c r="D29" s="2"/>
      <x:c r="E29" s="2"/>
      <x:c r="F29" s="2"/>
      <x:c r="G29" s="2"/>
      <x:c r="H29" s="2"/>
      <x:c r="I29" s="2"/>
      <x:c r="J29" s="2"/>
      <x:c r="K29" s="2"/>
      <x:c r="L29" s="2"/>
    </x:row>
    <x:row r="30" ht="28" customHeight="1">
      <x:c r="A30" s="2"/>
      <x:c r="B30" s="2"/>
      <x:c r="C30" s="2"/>
      <x:c r="D30" s="2"/>
      <x:c r="E30" s="2"/>
      <x:c r="F30" s="2"/>
      <x:c r="G30" s="2"/>
      <x:c r="H30" s="2"/>
      <x:c r="I30" s="2"/>
      <x:c r="J30" s="2"/>
      <x:c r="K30" s="2"/>
      <x:c r="L30" s="2"/>
    </x:row>
    <x:row r="31" ht="28" customHeight="1">
      <x:c r="A31" s="2"/>
      <x:c r="B31" s="2"/>
      <x:c r="C31" s="2"/>
      <x:c r="D31" s="2"/>
      <x:c r="E31" s="2"/>
      <x:c r="F31" s="2"/>
      <x:c r="G31" s="2"/>
      <x:c r="H31" s="2"/>
      <x:c r="I31" s="2"/>
      <x:c r="J31" s="2"/>
      <x:c r="K31" s="2"/>
      <x:c r="L31" s="2"/>
    </x:row>
    <x:row r="32" ht="28" customHeight="1">
      <x:c r="A32" s="2"/>
      <x:c r="B32" s="2"/>
      <x:c r="C32" s="2"/>
      <x:c r="D32" s="2"/>
      <x:c r="E32" s="2"/>
      <x:c r="F32" s="2"/>
      <x:c r="G32" s="2"/>
      <x:c r="H32" s="2"/>
      <x:c r="I32" s="2"/>
      <x:c r="J32" s="2"/>
      <x:c r="K32" s="2"/>
      <x:c r="L32" s="2"/>
    </x:row>
    <x:row r="33" ht="28" customHeight="1">
      <x:c r="A33" s="2"/>
      <x:c r="B33" s="2"/>
      <x:c r="C33" s="2"/>
      <x:c r="D33" s="2"/>
      <x:c r="E33" s="2"/>
      <x:c r="F33" s="2"/>
      <x:c r="G33" s="2"/>
      <x:c r="H33" s="2"/>
      <x:c r="I33" s="2"/>
      <x:c r="J33" s="2"/>
      <x:c r="K33" s="2"/>
      <x:c r="L33" s="2"/>
    </x:row>
    <x:row r="34" ht="28" customHeight="1">
      <x:c r="A34" s="2"/>
      <x:c r="B34" s="2"/>
      <x:c r="C34" s="2"/>
      <x:c r="D34" s="2"/>
      <x:c r="E34" s="2"/>
      <x:c r="F34" s="2"/>
      <x:c r="G34" s="2"/>
      <x:c r="H34" s="2"/>
      <x:c r="I34" s="2"/>
      <x:c r="J34" s="2"/>
      <x:c r="K34" s="2"/>
      <x:c r="L34" s="2"/>
    </x:row>
    <x:row r="35" ht="28" customHeight="1">
      <x:c r="A35" s="2"/>
      <x:c r="B35" s="2"/>
      <x:c r="C35" s="2"/>
      <x:c r="D35" s="2"/>
      <x:c r="E35" s="2"/>
      <x:c r="F35" s="2"/>
      <x:c r="G35" s="2"/>
      <x:c r="H35" s="2"/>
      <x:c r="I35" s="2"/>
      <x:c r="J35" s="2"/>
      <x:c r="K35" s="2"/>
      <x:c r="L35" s="2"/>
    </x:row>
    <x:row r="36" ht="28" customHeight="1">
      <x:c r="A36" s="2"/>
      <x:c r="B36" s="2"/>
      <x:c r="C36" s="2"/>
      <x:c r="D36" s="2"/>
      <x:c r="E36" s="2"/>
      <x:c r="F36" s="2"/>
      <x:c r="G36" s="2"/>
      <x:c r="H36" s="2"/>
      <x:c r="I36" s="2"/>
      <x:c r="J36" s="2"/>
      <x:c r="K36" s="2"/>
      <x:c r="L36" s="2"/>
    </x:row>
    <x:row r="37" ht="28" customHeight="1">
      <x:c r="A37" s="2"/>
      <x:c r="B37" s="2"/>
      <x:c r="C37" s="2"/>
      <x:c r="D37" s="2"/>
      <x:c r="E37" s="2"/>
      <x:c r="F37" s="2"/>
      <x:c r="G37" s="2"/>
      <x:c r="H37" s="2"/>
      <x:c r="I37" s="2"/>
      <x:c r="J37" s="2"/>
      <x:c r="K37" s="2"/>
      <x:c r="L37" s="2"/>
    </x:row>
    <x:row r="38" ht="28" customHeight="1">
      <x:c r="A38" s="2"/>
      <x:c r="B38" s="2"/>
      <x:c r="C38" s="2"/>
      <x:c r="D38" s="2"/>
      <x:c r="E38" s="2"/>
      <x:c r="F38" s="2"/>
      <x:c r="G38" s="2"/>
      <x:c r="H38" s="2"/>
      <x:c r="I38" s="2"/>
      <x:c r="J38" s="2"/>
      <x:c r="K38" s="2"/>
      <x:c r="L38" s="2"/>
    </x:row>
    <x:row r="39" ht="28" customHeight="1">
      <x:c r="A39" s="2"/>
      <x:c r="B39" s="2"/>
      <x:c r="C39" s="2"/>
      <x:c r="D39" s="2"/>
      <x:c r="E39" s="2"/>
      <x:c r="F39" s="2"/>
      <x:c r="G39" s="2"/>
      <x:c r="H39" s="2"/>
      <x:c r="I39" s="2"/>
      <x:c r="J39" s="2"/>
      <x:c r="K39" s="2"/>
      <x:c r="L39" s="2"/>
    </x:row>
    <x:row r="40" ht="28" customHeight="1">
      <x:c r="A40" s="2"/>
      <x:c r="B40" s="2"/>
      <x:c r="C40" s="2"/>
      <x:c r="D40" s="2"/>
      <x:c r="E40" s="2"/>
      <x:c r="F40" s="2"/>
      <x:c r="G40" s="2"/>
      <x:c r="H40" s="2"/>
      <x:c r="I40" s="2"/>
      <x:c r="J40" s="2"/>
      <x:c r="K40" s="2"/>
      <x:c r="L40" s="2"/>
    </x:row>
    <x:row r="41" ht="28" customHeight="1">
      <x:c r="A41" s="2"/>
      <x:c r="B41" s="2"/>
      <x:c r="C41" s="2"/>
      <x:c r="D41" s="2"/>
      <x:c r="E41" s="2"/>
      <x:c r="F41" s="2"/>
      <x:c r="G41" s="2"/>
      <x:c r="H41" s="2"/>
      <x:c r="I41" s="2"/>
      <x:c r="J41" s="2"/>
      <x:c r="K41" s="2"/>
      <x:c r="L41" s="2"/>
    </x:row>
    <x:row r="42" ht="28" customHeight="1">
      <x:c r="A42" s="2"/>
      <x:c r="B42" s="2"/>
      <x:c r="C42" s="2"/>
      <x:c r="D42" s="2"/>
      <x:c r="E42" s="2"/>
      <x:c r="F42" s="2"/>
      <x:c r="G42" s="2"/>
      <x:c r="H42" s="2"/>
      <x:c r="I42" s="2"/>
      <x:c r="J42" s="2"/>
      <x:c r="K42" s="2"/>
      <x:c r="L42" s="2"/>
    </x:row>
    <x:row r="43" ht="28" customHeight="1">
      <x:c r="A43" s="2"/>
      <x:c r="B43" s="2"/>
      <x:c r="C43" s="2"/>
      <x:c r="D43" s="2"/>
      <x:c r="E43" s="2"/>
      <x:c r="F43" s="2"/>
      <x:c r="G43" s="2"/>
      <x:c r="H43" s="2"/>
      <x:c r="I43" s="2"/>
      <x:c r="J43" s="2"/>
      <x:c r="K43" s="2"/>
      <x:c r="L43" s="2"/>
    </x:row>
    <x:row r="44" ht="28" customHeight="1">
      <x:c r="A44" s="2"/>
      <x:c r="B44" s="2"/>
      <x:c r="C44" s="2"/>
      <x:c r="D44" s="2"/>
      <x:c r="E44" s="2"/>
      <x:c r="F44" s="2"/>
      <x:c r="G44" s="2"/>
      <x:c r="H44" s="2"/>
      <x:c r="I44" s="2"/>
      <x:c r="J44" s="2"/>
      <x:c r="K44" s="2"/>
      <x:c r="L44" s="2"/>
    </x:row>
    <x:row r="45" ht="28" customHeight="1">
      <x:c r="A45" s="2"/>
      <x:c r="B45" s="2"/>
      <x:c r="C45" s="2"/>
      <x:c r="D45" s="2"/>
      <x:c r="E45" s="2"/>
      <x:c r="F45" s="2"/>
      <x:c r="G45" s="2"/>
      <x:c r="H45" s="2"/>
      <x:c r="I45" s="2"/>
      <x:c r="J45" s="2"/>
      <x:c r="K45" s="2"/>
      <x:c r="L45" s="2"/>
    </x:row>
    <x:row r="46" ht="28" customHeight="1">
      <x:c r="A46" s="2"/>
      <x:c r="B46" s="2"/>
      <x:c r="C46" s="2"/>
      <x:c r="D46" s="2"/>
      <x:c r="E46" s="2"/>
      <x:c r="F46" s="2"/>
      <x:c r="G46" s="2"/>
      <x:c r="H46" s="2"/>
      <x:c r="I46" s="2"/>
      <x:c r="J46" s="2"/>
      <x:c r="K46" s="2"/>
      <x:c r="L46" s="2"/>
    </x:row>
    <x:row r="47" ht="28" customHeight="1">
      <x:c r="A47" s="2"/>
      <x:c r="B47" s="2"/>
      <x:c r="C47" s="2"/>
      <x:c r="D47" s="2"/>
      <x:c r="E47" s="2"/>
      <x:c r="F47" s="2"/>
      <x:c r="G47" s="2"/>
      <x:c r="H47" s="2"/>
      <x:c r="I47" s="2"/>
      <x:c r="J47" s="2"/>
      <x:c r="K47" s="2"/>
      <x:c r="L47" s="2"/>
    </x:row>
    <x:row r="48" ht="28" customHeight="1">
      <x:c r="A48" s="2"/>
      <x:c r="B48" s="2"/>
      <x:c r="C48" s="2"/>
      <x:c r="D48" s="2"/>
      <x:c r="E48" s="2"/>
      <x:c r="F48" s="2"/>
      <x:c r="G48" s="2"/>
      <x:c r="H48" s="2"/>
      <x:c r="I48" s="2"/>
      <x:c r="J48" s="2"/>
      <x:c r="K48" s="2"/>
      <x:c r="L48" s="2"/>
    </x:row>
    <x:row r="49" ht="28" customHeight="1">
      <x:c r="A49" s="2"/>
      <x:c r="B49" s="2"/>
      <x:c r="C49" s="2"/>
      <x:c r="D49" s="2"/>
      <x:c r="E49" s="2"/>
      <x:c r="F49" s="2"/>
      <x:c r="G49" s="2"/>
      <x:c r="H49" s="2"/>
      <x:c r="I49" s="2"/>
      <x:c r="J49" s="2"/>
      <x:c r="K49" s="2"/>
      <x:c r="L49" s="2"/>
    </x:row>
    <x:row r="50" ht="28" customHeight="1">
      <x:c r="A50" s="2"/>
      <x:c r="B50" s="2"/>
      <x:c r="C50" s="2"/>
      <x:c r="D50" s="2"/>
      <x:c r="E50" s="2"/>
      <x:c r="F50" s="2"/>
      <x:c r="G50" s="2"/>
      <x:c r="H50" s="2"/>
      <x:c r="I50" s="2"/>
      <x:c r="J50" s="2"/>
      <x:c r="K50" s="2"/>
      <x:c r="L50" s="2"/>
    </x:row>
    <x:row r="51" ht="28" customHeight="1">
      <x:c r="A51" s="2"/>
      <x:c r="B51" s="2"/>
      <x:c r="C51" s="2"/>
      <x:c r="D51" s="2"/>
      <x:c r="E51" s="2"/>
      <x:c r="F51" s="2"/>
      <x:c r="G51" s="2"/>
      <x:c r="H51" s="2"/>
      <x:c r="I51" s="2"/>
      <x:c r="J51" s="2"/>
      <x:c r="K51" s="2"/>
      <x:c r="L51" s="2"/>
    </x:row>
    <x:row r="52" ht="28" customHeight="1">
      <x:c r="A52" s="2"/>
      <x:c r="B52" s="2"/>
      <x:c r="C52" s="2"/>
      <x:c r="D52" s="2"/>
      <x:c r="E52" s="2"/>
      <x:c r="F52" s="2"/>
      <x:c r="G52" s="2"/>
      <x:c r="H52" s="2"/>
      <x:c r="I52" s="2"/>
      <x:c r="J52" s="2"/>
      <x:c r="K52" s="2"/>
      <x:c r="L52" s="2"/>
    </x:row>
    <x:row r="53" ht="28" customHeight="1">
      <x:c r="A53" s="2"/>
      <x:c r="B53" s="2"/>
      <x:c r="C53" s="2"/>
      <x:c r="D53" s="2"/>
      <x:c r="E53" s="2"/>
      <x:c r="F53" s="2"/>
      <x:c r="G53" s="2"/>
      <x:c r="H53" s="2"/>
      <x:c r="I53" s="2"/>
      <x:c r="J53" s="2"/>
      <x:c r="K53" s="2"/>
      <x:c r="L53" s="2"/>
    </x:row>
    <x:row r="54" ht="28" customHeight="1">
      <x:c r="A54" s="2"/>
      <x:c r="B54" s="2"/>
      <x:c r="C54" s="2"/>
      <x:c r="D54" s="2"/>
      <x:c r="E54" s="2"/>
      <x:c r="F54" s="2"/>
      <x:c r="G54" s="2"/>
      <x:c r="H54" s="2"/>
      <x:c r="I54" s="2"/>
      <x:c r="J54" s="2"/>
      <x:c r="K54" s="2"/>
      <x:c r="L54" s="2"/>
    </x:row>
    <x:row r="55" ht="28" customHeight="1">
      <x:c r="A55" s="2"/>
      <x:c r="B55" s="2"/>
      <x:c r="C55" s="2"/>
      <x:c r="D55" s="2"/>
      <x:c r="E55" s="2"/>
      <x:c r="F55" s="2"/>
      <x:c r="G55" s="2"/>
      <x:c r="H55" s="2"/>
      <x:c r="I55" s="2"/>
      <x:c r="J55" s="2"/>
      <x:c r="K55" s="2"/>
      <x:c r="L55" s="2"/>
    </x:row>
    <x:row r="56" ht="28" customHeight="1">
      <x:c r="A56" s="2"/>
      <x:c r="B56" s="2"/>
      <x:c r="C56" s="2"/>
      <x:c r="D56" s="2"/>
      <x:c r="E56" s="2"/>
      <x:c r="F56" s="2"/>
      <x:c r="G56" s="2"/>
      <x:c r="H56" s="2"/>
      <x:c r="I56" s="2"/>
      <x:c r="J56" s="2"/>
      <x:c r="K56" s="2"/>
      <x:c r="L56" s="2"/>
    </x:row>
    <x:row r="57" ht="28" customHeight="1">
      <x:c r="A57" s="2"/>
      <x:c r="B57" s="2"/>
      <x:c r="C57" s="2"/>
      <x:c r="D57" s="2"/>
      <x:c r="E57" s="2"/>
      <x:c r="F57" s="2"/>
      <x:c r="G57" s="2"/>
      <x:c r="H57" s="2"/>
      <x:c r="I57" s="2"/>
      <x:c r="J57" s="2"/>
      <x:c r="K57" s="2"/>
      <x:c r="L57" s="2"/>
    </x:row>
    <x:row r="58" ht="28" customHeight="1">
      <x:c r="A58" s="2"/>
      <x:c r="B58" s="2"/>
      <x:c r="C58" s="2"/>
      <x:c r="D58" s="2"/>
      <x:c r="E58" s="2"/>
      <x:c r="F58" s="2"/>
      <x:c r="G58" s="2"/>
      <x:c r="H58" s="2"/>
      <x:c r="I58" s="2"/>
      <x:c r="J58" s="2"/>
      <x:c r="K58" s="2"/>
      <x:c r="L58" s="2"/>
    </x:row>
    <x:row r="59" ht="28" customHeight="1">
      <x:c r="A59" s="2"/>
      <x:c r="B59" s="2"/>
      <x:c r="C59" s="2"/>
      <x:c r="D59" s="2"/>
      <x:c r="E59" s="2"/>
      <x:c r="F59" s="2"/>
      <x:c r="G59" s="2"/>
      <x:c r="H59" s="2"/>
      <x:c r="I59" s="2"/>
      <x:c r="J59" s="2"/>
      <x:c r="K59" s="2"/>
      <x:c r="L59" s="2"/>
    </x:row>
    <x:row r="60" ht="28" customHeight="1">
      <x:c r="A60" s="2"/>
      <x:c r="B60" s="2"/>
      <x:c r="C60" s="2"/>
      <x:c r="D60" s="2"/>
      <x:c r="E60" s="2"/>
      <x:c r="F60" s="2"/>
      <x:c r="G60" s="2"/>
      <x:c r="H60" s="2"/>
      <x:c r="I60" s="2"/>
      <x:c r="J60" s="2"/>
      <x:c r="K60" s="2"/>
      <x:c r="L60" s="2"/>
    </x:row>
    <x:row r="61" ht="28" customHeight="1">
      <x:c r="A61" s="2"/>
      <x:c r="B61" s="2"/>
      <x:c r="C61" s="2"/>
      <x:c r="D61" s="2"/>
      <x:c r="E61" s="2"/>
      <x:c r="F61" s="2"/>
      <x:c r="G61" s="2"/>
      <x:c r="H61" s="2"/>
      <x:c r="I61" s="2"/>
      <x:c r="J61" s="2"/>
      <x:c r="K61" s="2"/>
      <x:c r="L61" s="2"/>
    </x:row>
    <x:row r="62" ht="28" customHeight="1">
      <x:c r="A62" s="2"/>
      <x:c r="B62" s="2"/>
      <x:c r="C62" s="2"/>
      <x:c r="D62" s="2"/>
      <x:c r="E62" s="2"/>
      <x:c r="F62" s="2"/>
      <x:c r="G62" s="2"/>
      <x:c r="H62" s="2"/>
      <x:c r="I62" s="2"/>
      <x:c r="J62" s="2"/>
      <x:c r="K62" s="2"/>
      <x:c r="L62" s="2"/>
    </x:row>
    <x:row r="63" ht="28" customHeight="1">
      <x:c r="A63" s="2"/>
      <x:c r="B63" s="2"/>
      <x:c r="C63" s="2"/>
      <x:c r="D63" s="2"/>
      <x:c r="E63" s="2"/>
      <x:c r="F63" s="2"/>
      <x:c r="G63" s="2"/>
      <x:c r="H63" s="2"/>
      <x:c r="I63" s="2"/>
      <x:c r="J63" s="2"/>
      <x:c r="K63" s="2"/>
      <x:c r="L63" s="2"/>
    </x:row>
    <x:row r="64" ht="28" customHeight="1">
      <x:c r="A64" s="2"/>
      <x:c r="B64" s="2"/>
      <x:c r="C64" s="2"/>
      <x:c r="D64" s="2"/>
      <x:c r="E64" s="2"/>
      <x:c r="F64" s="2"/>
      <x:c r="G64" s="2"/>
      <x:c r="H64" s="2"/>
      <x:c r="I64" s="2"/>
      <x:c r="J64" s="2"/>
      <x:c r="K64" s="2"/>
      <x:c r="L64" s="2"/>
    </x:row>
    <x:row r="65" ht="28" customHeight="1">
      <x:c r="A65" s="2"/>
      <x:c r="B65" s="2"/>
      <x:c r="C65" s="2"/>
      <x:c r="D65" s="2"/>
      <x:c r="E65" s="2"/>
      <x:c r="F65" s="2"/>
      <x:c r="G65" s="2"/>
      <x:c r="H65" s="2"/>
      <x:c r="I65" s="2"/>
      <x:c r="J65" s="2"/>
      <x:c r="K65" s="2"/>
      <x:c r="L65" s="2"/>
    </x:row>
    <x:row r="66" ht="28" customHeight="1">
      <x:c r="A66" s="2"/>
      <x:c r="B66" s="2"/>
      <x:c r="C66" s="2"/>
      <x:c r="D66" s="2"/>
      <x:c r="E66" s="2"/>
      <x:c r="F66" s="2"/>
      <x:c r="G66" s="2"/>
      <x:c r="H66" s="2"/>
      <x:c r="I66" s="2"/>
      <x:c r="J66" s="2"/>
      <x:c r="K66" s="2"/>
      <x:c r="L66" s="2"/>
    </x:row>
    <x:row r="67" ht="28" customHeight="1">
      <x:c r="A67" s="2"/>
      <x:c r="B67" s="2"/>
      <x:c r="C67" s="2"/>
      <x:c r="D67" s="2"/>
      <x:c r="E67" s="2"/>
      <x:c r="F67" s="2"/>
      <x:c r="G67" s="2"/>
      <x:c r="H67" s="2"/>
      <x:c r="I67" s="2"/>
      <x:c r="J67" s="2"/>
      <x:c r="K67" s="2"/>
      <x:c r="L67" s="2"/>
    </x:row>
    <x:row r="68" ht="28" customHeight="1">
      <x:c r="A68" s="2"/>
      <x:c r="B68" s="2"/>
      <x:c r="C68" s="2"/>
      <x:c r="D68" s="2"/>
      <x:c r="E68" s="2"/>
      <x:c r="F68" s="2"/>
      <x:c r="G68" s="2"/>
      <x:c r="H68" s="2"/>
      <x:c r="I68" s="2"/>
      <x:c r="J68" s="2"/>
      <x:c r="K68" s="2"/>
      <x:c r="L68" s="2"/>
    </x:row>
    <x:row r="69" ht="28" customHeight="1">
      <x:c r="A69" s="2"/>
      <x:c r="B69" s="2"/>
      <x:c r="C69" s="2"/>
      <x:c r="D69" s="2"/>
      <x:c r="E69" s="2"/>
      <x:c r="F69" s="2"/>
      <x:c r="G69" s="2"/>
      <x:c r="H69" s="2"/>
      <x:c r="I69" s="2"/>
      <x:c r="J69" s="2"/>
      <x:c r="K69" s="2"/>
      <x:c r="L69" s="2"/>
    </x:row>
    <x:row r="70" ht="28" customHeight="1">
      <x:c r="A70" s="2"/>
      <x:c r="B70" s="2"/>
      <x:c r="C70" s="2"/>
      <x:c r="D70" s="2"/>
      <x:c r="E70" s="2"/>
      <x:c r="F70" s="2"/>
      <x:c r="G70" s="2"/>
      <x:c r="H70" s="2"/>
      <x:c r="I70" s="2"/>
      <x:c r="J70" s="2"/>
      <x:c r="K70" s="2"/>
      <x:c r="L70" s="2"/>
    </x:row>
    <x:row r="71" ht="28" customHeight="1">
      <x:c r="A71" s="2"/>
      <x:c r="B71" s="2"/>
      <x:c r="C71" s="2"/>
      <x:c r="D71" s="2"/>
      <x:c r="E71" s="2"/>
      <x:c r="F71" s="2"/>
      <x:c r="G71" s="2"/>
      <x:c r="H71" s="2"/>
      <x:c r="I71" s="2"/>
      <x:c r="J71" s="2"/>
      <x:c r="K71" s="2"/>
      <x:c r="L71" s="2"/>
    </x:row>
    <x:row r="72" ht="28" customHeight="1">
      <x:c r="A72" s="2"/>
      <x:c r="B72" s="2"/>
      <x:c r="C72" s="2"/>
      <x:c r="D72" s="2"/>
      <x:c r="E72" s="2"/>
      <x:c r="F72" s="2"/>
      <x:c r="G72" s="2"/>
      <x:c r="H72" s="2"/>
      <x:c r="I72" s="2"/>
      <x:c r="J72" s="2"/>
      <x:c r="K72" s="2"/>
      <x:c r="L72" s="2"/>
    </x:row>
    <x:row r="73" ht="28" customHeight="1">
      <x:c r="A73" s="2"/>
      <x:c r="B73" s="2"/>
      <x:c r="C73" s="2"/>
      <x:c r="D73" s="2"/>
      <x:c r="E73" s="2"/>
      <x:c r="F73" s="2"/>
      <x:c r="G73" s="2"/>
      <x:c r="H73" s="2"/>
      <x:c r="I73" s="2"/>
      <x:c r="J73" s="2"/>
      <x:c r="K73" s="2"/>
      <x:c r="L73" s="2"/>
    </x:row>
    <x:row r="74" ht="28" customHeight="1">
      <x:c r="A74" s="2"/>
      <x:c r="B74" s="2"/>
      <x:c r="C74" s="2"/>
      <x:c r="D74" s="2"/>
      <x:c r="E74" s="2"/>
      <x:c r="F74" s="2"/>
      <x:c r="G74" s="2"/>
      <x:c r="H74" s="2"/>
      <x:c r="I74" s="2"/>
      <x:c r="J74" s="2"/>
      <x:c r="K74" s="2"/>
      <x:c r="L74" s="2"/>
    </x:row>
    <x:row r="75" ht="28" customHeight="1">
      <x:c r="A75" s="2"/>
      <x:c r="B75" s="2"/>
      <x:c r="C75" s="2"/>
      <x:c r="D75" s="2"/>
      <x:c r="E75" s="2"/>
      <x:c r="F75" s="2"/>
      <x:c r="G75" s="2"/>
      <x:c r="H75" s="2"/>
      <x:c r="I75" s="2"/>
      <x:c r="J75" s="2"/>
      <x:c r="K75" s="2"/>
      <x:c r="L75" s="2"/>
    </x:row>
    <x:row r="76" ht="28" customHeight="1">
      <x:c r="A76" s="2"/>
      <x:c r="B76" s="2"/>
      <x:c r="C76" s="2"/>
      <x:c r="D76" s="2"/>
      <x:c r="E76" s="2"/>
      <x:c r="F76" s="2"/>
      <x:c r="G76" s="2"/>
      <x:c r="H76" s="2"/>
      <x:c r="I76" s="2"/>
      <x:c r="J76" s="2"/>
      <x:c r="K76" s="2"/>
      <x:c r="L76" s="2"/>
    </x:row>
    <x:row r="77" ht="28" customHeight="1">
      <x:c r="A77" s="2"/>
      <x:c r="B77" s="2"/>
      <x:c r="C77" s="2"/>
      <x:c r="D77" s="2"/>
      <x:c r="E77" s="2"/>
      <x:c r="F77" s="2"/>
      <x:c r="G77" s="2"/>
      <x:c r="H77" s="2"/>
      <x:c r="I77" s="2"/>
      <x:c r="J77" s="2"/>
      <x:c r="K77" s="2"/>
      <x:c r="L77" s="2"/>
    </x:row>
    <x:row r="78" ht="28" customHeight="1">
      <x:c r="A78" s="2"/>
      <x:c r="B78" s="2"/>
      <x:c r="C78" s="2"/>
      <x:c r="D78" s="2"/>
      <x:c r="E78" s="2"/>
      <x:c r="F78" s="2"/>
      <x:c r="G78" s="2"/>
      <x:c r="H78" s="2"/>
      <x:c r="I78" s="2"/>
      <x:c r="J78" s="2"/>
      <x:c r="K78" s="2"/>
      <x:c r="L78" s="2"/>
    </x:row>
    <x:row r="79" ht="28" customHeight="1">
      <x:c r="A79" s="2"/>
      <x:c r="B79" s="2"/>
      <x:c r="C79" s="2"/>
      <x:c r="D79" s="2"/>
      <x:c r="E79" s="2"/>
      <x:c r="F79" s="2"/>
      <x:c r="G79" s="2"/>
      <x:c r="H79" s="2"/>
      <x:c r="I79" s="2"/>
      <x:c r="J79" s="2"/>
      <x:c r="K79" s="2"/>
      <x:c r="L79" s="2"/>
    </x:row>
    <x:row r="80" ht="28" customHeight="1">
      <x:c r="A80" s="2"/>
      <x:c r="B80" s="2"/>
      <x:c r="C80" s="2"/>
      <x:c r="D80" s="2"/>
      <x:c r="E80" s="2"/>
      <x:c r="F80" s="2"/>
      <x:c r="G80" s="2"/>
      <x:c r="H80" s="2"/>
      <x:c r="I80" s="2"/>
      <x:c r="J80" s="2"/>
      <x:c r="K80" s="2"/>
      <x:c r="L80" s="2"/>
    </x:row>
    <x:row r="81" ht="28" customHeight="1">
      <x:c r="A81" s="2"/>
      <x:c r="B81" s="2"/>
      <x:c r="C81" s="2"/>
      <x:c r="D81" s="2"/>
      <x:c r="E81" s="2"/>
      <x:c r="F81" s="2"/>
      <x:c r="G81" s="2"/>
      <x:c r="H81" s="2"/>
      <x:c r="I81" s="2"/>
      <x:c r="J81" s="2"/>
      <x:c r="K81" s="2"/>
      <x:c r="L81" s="2"/>
    </x:row>
    <x:row r="82" ht="28" customHeight="1">
      <x:c r="A82" s="2"/>
      <x:c r="B82" s="2"/>
      <x:c r="C82" s="2"/>
      <x:c r="D82" s="2"/>
      <x:c r="E82" s="2"/>
      <x:c r="F82" s="2"/>
      <x:c r="G82" s="2"/>
      <x:c r="H82" s="2"/>
      <x:c r="I82" s="2"/>
      <x:c r="J82" s="2"/>
      <x:c r="K82" s="2"/>
      <x:c r="L82" s="2"/>
    </x:row>
    <x:row r="83" ht="28" customHeight="1">
      <x:c r="A83" s="2"/>
      <x:c r="B83" s="2"/>
      <x:c r="C83" s="2"/>
      <x:c r="D83" s="2"/>
      <x:c r="E83" s="2"/>
      <x:c r="F83" s="2"/>
      <x:c r="G83" s="2"/>
      <x:c r="H83" s="2"/>
      <x:c r="I83" s="2"/>
      <x:c r="J83" s="2"/>
      <x:c r="K83" s="2"/>
      <x:c r="L83" s="2"/>
    </x:row>
    <x:row r="84" ht="28" customHeight="1">
      <x:c r="A84" s="2"/>
      <x:c r="B84" s="2"/>
      <x:c r="C84" s="2"/>
      <x:c r="D84" s="2"/>
      <x:c r="E84" s="2"/>
      <x:c r="F84" s="2"/>
      <x:c r="G84" s="2"/>
      <x:c r="H84" s="2"/>
      <x:c r="I84" s="2"/>
      <x:c r="J84" s="2"/>
      <x:c r="K84" s="2"/>
      <x:c r="L84" s="2"/>
    </x:row>
    <x:row r="85" ht="28" customHeight="1">
      <x:c r="A85" s="2"/>
      <x:c r="B85" s="2"/>
      <x:c r="C85" s="2"/>
      <x:c r="D85" s="2"/>
      <x:c r="E85" s="2"/>
      <x:c r="F85" s="2"/>
      <x:c r="G85" s="2"/>
      <x:c r="H85" s="2"/>
      <x:c r="I85" s="2"/>
      <x:c r="J85" s="2"/>
      <x:c r="K85" s="2"/>
      <x:c r="L85" s="2"/>
    </x:row>
    <x:row r="86" ht="28" customHeight="1">
      <x:c r="A86" s="2"/>
      <x:c r="B86" s="2"/>
      <x:c r="C86" s="2"/>
      <x:c r="D86" s="2"/>
      <x:c r="E86" s="2"/>
      <x:c r="F86" s="2"/>
      <x:c r="G86" s="2"/>
      <x:c r="H86" s="2"/>
      <x:c r="I86" s="2"/>
      <x:c r="J86" s="2"/>
      <x:c r="K86" s="2"/>
      <x:c r="L86" s="2"/>
    </x:row>
    <x:row r="87" ht="28" customHeight="1">
      <x:c r="A87" s="2"/>
      <x:c r="B87" s="2"/>
      <x:c r="C87" s="2"/>
      <x:c r="D87" s="2"/>
      <x:c r="E87" s="2"/>
      <x:c r="F87" s="2"/>
      <x:c r="G87" s="2"/>
      <x:c r="H87" s="2"/>
      <x:c r="I87" s="2"/>
      <x:c r="J87" s="2"/>
      <x:c r="K87" s="2"/>
      <x:c r="L87" s="2"/>
    </x:row>
    <x:row r="88" ht="28" customHeight="1">
      <x:c r="A88" s="2"/>
      <x:c r="B88" s="2"/>
      <x:c r="C88" s="2"/>
      <x:c r="D88" s="2"/>
      <x:c r="E88" s="2"/>
      <x:c r="F88" s="2"/>
      <x:c r="G88" s="2"/>
      <x:c r="H88" s="2"/>
      <x:c r="I88" s="2"/>
      <x:c r="J88" s="2"/>
      <x:c r="K88" s="2"/>
      <x:c r="L88" s="2"/>
    </x:row>
    <x:row r="89" ht="28" customHeight="1">
      <x:c r="A89" s="2"/>
      <x:c r="B89" s="2"/>
      <x:c r="C89" s="2"/>
      <x:c r="D89" s="2"/>
      <x:c r="E89" s="2"/>
      <x:c r="F89" s="2"/>
      <x:c r="G89" s="2"/>
      <x:c r="H89" s="2"/>
      <x:c r="I89" s="2"/>
      <x:c r="J89" s="2"/>
      <x:c r="K89" s="2"/>
      <x:c r="L89" s="2"/>
    </x:row>
    <x:row r="90" ht="28" customHeight="1">
      <x:c r="A90" s="2"/>
      <x:c r="B90" s="2"/>
      <x:c r="C90" s="2"/>
      <x:c r="D90" s="2"/>
      <x:c r="E90" s="2"/>
      <x:c r="F90" s="2"/>
      <x:c r="G90" s="2"/>
      <x:c r="H90" s="2"/>
      <x:c r="I90" s="2"/>
      <x:c r="J90" s="2"/>
      <x:c r="K90" s="2"/>
      <x:c r="L90" s="2"/>
    </x:row>
    <x:row r="91" ht="28" customHeight="1">
      <x:c r="A91" s="2"/>
      <x:c r="B91" s="2"/>
      <x:c r="C91" s="2"/>
      <x:c r="D91" s="2"/>
      <x:c r="E91" s="2"/>
      <x:c r="F91" s="2"/>
      <x:c r="G91" s="2"/>
      <x:c r="H91" s="2"/>
      <x:c r="I91" s="2"/>
      <x:c r="J91" s="2"/>
      <x:c r="K91" s="2"/>
      <x:c r="L91" s="2"/>
    </x:row>
    <x:row r="92" ht="28" customHeight="1">
      <x:c r="A92" s="2"/>
      <x:c r="B92" s="2"/>
      <x:c r="C92" s="2"/>
      <x:c r="D92" s="2"/>
      <x:c r="E92" s="2"/>
      <x:c r="F92" s="2"/>
      <x:c r="G92" s="2"/>
      <x:c r="H92" s="2"/>
      <x:c r="I92" s="2"/>
      <x:c r="J92" s="2"/>
      <x:c r="K92" s="2"/>
      <x:c r="L92" s="2"/>
    </x:row>
    <x:row r="93" ht="28" customHeight="1">
      <x:c r="A93" s="2"/>
      <x:c r="B93" s="2"/>
      <x:c r="C93" s="2"/>
      <x:c r="D93" s="2"/>
      <x:c r="E93" s="2"/>
      <x:c r="F93" s="2"/>
      <x:c r="G93" s="2"/>
      <x:c r="H93" s="2"/>
      <x:c r="I93" s="2"/>
      <x:c r="J93" s="2"/>
      <x:c r="K93" s="2"/>
      <x:c r="L93" s="2"/>
    </x:row>
    <x:row r="94" ht="28" customHeight="1">
      <x:c r="A94" s="2"/>
      <x:c r="B94" s="2"/>
      <x:c r="C94" s="2"/>
      <x:c r="D94" s="2"/>
      <x:c r="E94" s="2"/>
      <x:c r="F94" s="2"/>
      <x:c r="G94" s="2"/>
      <x:c r="H94" s="2"/>
      <x:c r="I94" s="2"/>
      <x:c r="J94" s="2"/>
      <x:c r="K94" s="2"/>
      <x:c r="L94" s="2"/>
    </x:row>
    <x:row r="95" ht="28" customHeight="1">
      <x:c r="A95" s="2"/>
      <x:c r="B95" s="2"/>
      <x:c r="C95" s="2"/>
      <x:c r="D95" s="2"/>
      <x:c r="E95" s="2"/>
      <x:c r="F95" s="2"/>
      <x:c r="G95" s="2"/>
      <x:c r="H95" s="2"/>
      <x:c r="I95" s="2"/>
      <x:c r="J95" s="2"/>
      <x:c r="K95" s="2"/>
      <x:c r="L95" s="2"/>
    </x:row>
    <x:row r="96" ht="28" customHeight="1">
      <x:c r="A96" s="2"/>
      <x:c r="B96" s="2"/>
      <x:c r="C96" s="2"/>
      <x:c r="D96" s="2"/>
      <x:c r="E96" s="2"/>
      <x:c r="F96" s="2"/>
      <x:c r="G96" s="2"/>
      <x:c r="H96" s="2"/>
      <x:c r="I96" s="2"/>
      <x:c r="J96" s="2"/>
      <x:c r="K96" s="2"/>
      <x:c r="L96" s="2"/>
    </x:row>
    <x:row r="97" ht="28" customHeight="1">
      <x:c r="A97" s="2"/>
      <x:c r="B97" s="2"/>
      <x:c r="C97" s="2"/>
      <x:c r="D97" s="2"/>
      <x:c r="E97" s="2"/>
      <x:c r="F97" s="2"/>
      <x:c r="G97" s="2"/>
      <x:c r="H97" s="2"/>
      <x:c r="I97" s="2"/>
      <x:c r="J97" s="2"/>
      <x:c r="K97" s="2"/>
      <x:c r="L97" s="2"/>
    </x:row>
    <x:row r="98" ht="28" customHeight="1">
      <x:c r="A98" s="2"/>
      <x:c r="B98" s="2"/>
      <x:c r="C98" s="2"/>
      <x:c r="D98" s="2"/>
      <x:c r="E98" s="2"/>
      <x:c r="F98" s="2"/>
      <x:c r="G98" s="2"/>
      <x:c r="H98" s="2"/>
      <x:c r="I98" s="2"/>
      <x:c r="J98" s="2"/>
      <x:c r="K98" s="2"/>
      <x:c r="L98" s="2"/>
    </x:row>
    <x:row r="99" ht="28" customHeight="1">
      <x:c r="A99" s="2"/>
      <x:c r="B99" s="2"/>
      <x:c r="C99" s="2"/>
      <x:c r="D99" s="2"/>
      <x:c r="E99" s="2"/>
      <x:c r="F99" s="2"/>
      <x:c r="G99" s="2"/>
      <x:c r="H99" s="2"/>
      <x:c r="I99" s="2"/>
      <x:c r="J99" s="2"/>
      <x:c r="K99" s="2"/>
      <x:c r="L99" s="2"/>
    </x:row>
    <x:row r="100" ht="28" customHeight="1">
      <x:c r="A100" s="2"/>
      <x:c r="B100" s="2"/>
      <x:c r="C100" s="2"/>
      <x:c r="D100" s="2"/>
      <x:c r="E100" s="2"/>
      <x:c r="F100" s="2"/>
      <x:c r="G100" s="2"/>
      <x:c r="H100" s="2"/>
      <x:c r="I100" s="2"/>
      <x:c r="J100" s="2"/>
      <x:c r="K100" s="2"/>
      <x:c r="L100" s="2"/>
    </x:row>
    <x:row r="101" ht="28" customHeight="1">
      <x:c r="A101" s="2"/>
      <x:c r="B101" s="2"/>
      <x:c r="C101" s="2"/>
      <x:c r="D101" s="2"/>
      <x:c r="E101" s="2"/>
      <x:c r="F101" s="2"/>
      <x:c r="G101" s="2"/>
      <x:c r="H101" s="2"/>
      <x:c r="I101" s="2"/>
      <x:c r="J101" s="2"/>
      <x:c r="K101" s="2"/>
      <x:c r="L101" s="2"/>
    </x:row>
    <x:row r="102" ht="28" customHeight="1">
      <x:c r="A102" s="2"/>
      <x:c r="B102" s="2"/>
      <x:c r="C102" s="2"/>
      <x:c r="D102" s="2"/>
      <x:c r="E102" s="2"/>
      <x:c r="F102" s="2"/>
      <x:c r="G102" s="2"/>
      <x:c r="H102" s="2"/>
      <x:c r="I102" s="2"/>
      <x:c r="J102" s="2"/>
      <x:c r="K102" s="2"/>
      <x:c r="L102" s="2"/>
    </x:row>
    <x:row r="103" ht="28" customHeight="1">
      <x:c r="A103" s="2"/>
      <x:c r="B103" s="2"/>
      <x:c r="C103" s="2"/>
      <x:c r="D103" s="2"/>
      <x:c r="E103" s="2"/>
      <x:c r="F103" s="2"/>
      <x:c r="G103" s="2"/>
      <x:c r="H103" s="2"/>
      <x:c r="I103" s="2"/>
      <x:c r="J103" s="2"/>
      <x:c r="K103" s="2"/>
      <x:c r="L103" s="2"/>
    </x:row>
    <x:row r="104" ht="28" customHeight="1">
      <x:c r="A104" s="2"/>
      <x:c r="B104" s="2"/>
      <x:c r="C104" s="2"/>
      <x:c r="D104" s="2"/>
      <x:c r="E104" s="2"/>
      <x:c r="F104" s="2"/>
      <x:c r="G104" s="2"/>
      <x:c r="H104" s="2"/>
      <x:c r="I104" s="2"/>
      <x:c r="J104" s="2"/>
      <x:c r="K104" s="2"/>
      <x:c r="L104" s="2"/>
    </x:row>
    <x:row r="105" ht="28" customHeight="1">
      <x:c r="A105" s="2"/>
      <x:c r="B105" s="2"/>
      <x:c r="C105" s="2"/>
      <x:c r="D105" s="2"/>
      <x:c r="E105" s="2"/>
      <x:c r="F105" s="2"/>
      <x:c r="G105" s="2"/>
      <x:c r="H105" s="2"/>
      <x:c r="I105" s="2"/>
      <x:c r="J105" s="2"/>
      <x:c r="K105" s="2"/>
      <x:c r="L105" s="2"/>
    </x:row>
    <x:row r="106" ht="28" customHeight="1">
      <x:c r="A106" s="2"/>
      <x:c r="B106" s="2"/>
      <x:c r="C106" s="2"/>
      <x:c r="D106" s="2"/>
      <x:c r="E106" s="2"/>
      <x:c r="F106" s="2"/>
      <x:c r="G106" s="2"/>
      <x:c r="H106" s="2"/>
      <x:c r="I106" s="2"/>
      <x:c r="J106" s="2"/>
      <x:c r="K106" s="2"/>
      <x:c r="L106" s="2"/>
    </x:row>
    <x:row r="107" ht="28" customHeight="1">
      <x:c r="A107" s="2"/>
      <x:c r="B107" s="2"/>
      <x:c r="C107" s="2"/>
      <x:c r="D107" s="2"/>
      <x:c r="E107" s="2"/>
      <x:c r="F107" s="2"/>
      <x:c r="G107" s="2"/>
      <x:c r="H107" s="2"/>
      <x:c r="I107" s="2"/>
      <x:c r="J107" s="2"/>
      <x:c r="K107" s="2"/>
      <x:c r="L107" s="2"/>
    </x:row>
    <x:row r="108" ht="28" customHeight="1">
      <x:c r="A108" s="2"/>
      <x:c r="B108" s="2"/>
      <x:c r="C108" s="2"/>
      <x:c r="D108" s="2"/>
      <x:c r="E108" s="2"/>
      <x:c r="F108" s="2"/>
      <x:c r="G108" s="2"/>
      <x:c r="H108" s="2"/>
      <x:c r="I108" s="2"/>
      <x:c r="J108" s="2"/>
      <x:c r="K108" s="2"/>
      <x:c r="L108" s="2"/>
    </x:row>
    <x:row r="109" ht="28" customHeight="1">
      <x:c r="A109" s="2"/>
      <x:c r="B109" s="2"/>
      <x:c r="C109" s="2"/>
      <x:c r="D109" s="2"/>
      <x:c r="E109" s="2"/>
      <x:c r="F109" s="2"/>
      <x:c r="G109" s="2"/>
      <x:c r="H109" s="2"/>
      <x:c r="I109" s="2"/>
      <x:c r="J109" s="2"/>
      <x:c r="K109" s="2"/>
      <x:c r="L109" s="2"/>
    </x:row>
    <x:row r="110" ht="28" customHeight="1">
      <x:c r="A110" s="2"/>
      <x:c r="B110" s="2"/>
      <x:c r="C110" s="2"/>
      <x:c r="D110" s="2"/>
      <x:c r="E110" s="2"/>
      <x:c r="F110" s="2"/>
      <x:c r="G110" s="2"/>
      <x:c r="H110" s="2"/>
      <x:c r="I110" s="2"/>
      <x:c r="J110" s="2"/>
      <x:c r="K110" s="2"/>
      <x:c r="L110" s="2"/>
    </x:row>
    <x:row r="111" ht="28" customHeight="1">
      <x:c r="A111" s="2"/>
      <x:c r="B111" s="2"/>
      <x:c r="C111" s="2"/>
      <x:c r="D111" s="2"/>
      <x:c r="E111" s="2"/>
      <x:c r="F111" s="2"/>
      <x:c r="G111" s="2"/>
      <x:c r="H111" s="2"/>
      <x:c r="I111" s="2"/>
      <x:c r="J111" s="2"/>
      <x:c r="K111" s="2"/>
      <x:c r="L111" s="2"/>
    </x:row>
    <x:row r="112" ht="28" customHeight="1">
      <x:c r="A112" s="2"/>
      <x:c r="B112" s="2"/>
      <x:c r="C112" s="2"/>
      <x:c r="D112" s="2"/>
      <x:c r="E112" s="2"/>
      <x:c r="F112" s="2"/>
      <x:c r="G112" s="2"/>
      <x:c r="H112" s="2"/>
      <x:c r="I112" s="2"/>
      <x:c r="J112" s="2"/>
      <x:c r="K112" s="2"/>
      <x:c r="L112" s="2"/>
    </x:row>
    <x:row r="113" ht="28" customHeight="1">
      <x:c r="A113" s="2"/>
      <x:c r="B113" s="2"/>
      <x:c r="C113" s="2"/>
      <x:c r="D113" s="2"/>
      <x:c r="E113" s="2"/>
      <x:c r="F113" s="2"/>
      <x:c r="G113" s="2"/>
      <x:c r="H113" s="2"/>
      <x:c r="I113" s="2"/>
      <x:c r="J113" s="2"/>
      <x:c r="K113" s="2"/>
      <x:c r="L113" s="2"/>
    </x:row>
    <x:row r="114" ht="28" customHeight="1">
      <x:c r="A114" s="2"/>
      <x:c r="B114" s="2"/>
      <x:c r="C114" s="2"/>
      <x:c r="D114" s="2"/>
      <x:c r="E114" s="2"/>
      <x:c r="F114" s="2"/>
      <x:c r="G114" s="2"/>
      <x:c r="H114" s="2"/>
      <x:c r="I114" s="2"/>
      <x:c r="J114" s="2"/>
      <x:c r="K114" s="2"/>
      <x:c r="L114" s="2"/>
    </x:row>
    <x:row r="115" ht="28" customHeight="1">
      <x:c r="A115" s="2"/>
      <x:c r="B115" s="2"/>
      <x:c r="C115" s="2"/>
      <x:c r="D115" s="2"/>
      <x:c r="E115" s="2"/>
      <x:c r="F115" s="2"/>
      <x:c r="G115" s="2"/>
      <x:c r="H115" s="2"/>
      <x:c r="I115" s="2"/>
      <x:c r="J115" s="2"/>
      <x:c r="K115" s="2"/>
      <x:c r="L115" s="2"/>
    </x:row>
    <x:row r="116" ht="28" customHeight="1">
      <x:c r="A116" s="2"/>
      <x:c r="B116" s="2"/>
      <x:c r="C116" s="2"/>
      <x:c r="D116" s="2"/>
      <x:c r="E116" s="2"/>
      <x:c r="F116" s="2"/>
      <x:c r="G116" s="2"/>
      <x:c r="H116" s="2"/>
      <x:c r="I116" s="2"/>
      <x:c r="J116" s="2"/>
      <x:c r="K116" s="2"/>
      <x:c r="L116" s="2"/>
    </x:row>
    <x:row r="117" ht="28" customHeight="1">
      <x:c r="A117" s="2"/>
      <x:c r="B117" s="2"/>
      <x:c r="C117" s="2"/>
      <x:c r="D117" s="2"/>
      <x:c r="E117" s="2"/>
      <x:c r="F117" s="2"/>
      <x:c r="G117" s="2"/>
      <x:c r="H117" s="2"/>
      <x:c r="I117" s="2"/>
      <x:c r="J117" s="2"/>
      <x:c r="K117" s="2"/>
      <x:c r="L117" s="2"/>
    </x:row>
    <x:row r="118" ht="28" customHeight="1">
      <x:c r="A118" s="2"/>
      <x:c r="B118" s="2"/>
      <x:c r="C118" s="2"/>
      <x:c r="D118" s="2"/>
      <x:c r="E118" s="2"/>
      <x:c r="F118" s="2"/>
      <x:c r="G118" s="2"/>
      <x:c r="H118" s="2"/>
      <x:c r="I118" s="2"/>
      <x:c r="J118" s="2"/>
      <x:c r="K118" s="2"/>
      <x:c r="L118" s="2"/>
    </x:row>
    <x:row r="119" ht="28" customHeight="1">
      <x:c r="A119" s="2"/>
      <x:c r="B119" s="2"/>
      <x:c r="C119" s="2"/>
      <x:c r="D119" s="2"/>
      <x:c r="E119" s="2"/>
      <x:c r="F119" s="2"/>
      <x:c r="G119" s="2"/>
      <x:c r="H119" s="2"/>
      <x:c r="I119" s="2"/>
      <x:c r="J119" s="2"/>
      <x:c r="K119" s="2"/>
      <x:c r="L119" s="2"/>
    </x:row>
    <x:row r="120" ht="28" customHeight="1">
      <x:c r="A120" s="2"/>
      <x:c r="B120" s="2"/>
      <x:c r="C120" s="2"/>
      <x:c r="D120" s="2"/>
      <x:c r="E120" s="2"/>
      <x:c r="F120" s="2"/>
      <x:c r="G120" s="2"/>
      <x:c r="H120" s="2"/>
      <x:c r="I120" s="2"/>
      <x:c r="J120" s="2"/>
      <x:c r="K120" s="2"/>
      <x:c r="L120" s="2"/>
    </x:row>
  </x:sheetData>
  <x:mergeCells>
    <x:mergeCell ref="D12:K12"/>
    <x:mergeCell ref="D14:K14"/>
    <x:mergeCell ref="D16:K17"/>
  </x:mergeCells>
  <x:pageMargins left="0.7" right="0.7" top="0.75" bottom="0.75" header="0.3" footer="0.3"/>
</x:worksheet>
</file>

<file path=xl/worksheets/sheet6.xml><?xml version="1.0" encoding="utf-8"?>
<x:worksheet xmlns:x="http://schemas.openxmlformats.org/spreadsheetml/2006/main">
  <x:sheetPr>
    <x:tabColor rgb="FF7B8991"/>
  </x:sheetPr>
  <x:sheetViews>
    <x:sheetView showGridLines="0" workbookViewId="0">
      <x:pane ySplit="4" topLeftCell="A5" activePane="bottomLeft" state="frozen"/>
    </x:sheetView>
  </x:sheetViews>
  <x:sheetFormatPr defaultRowHeight="15"/>
  <x:cols>
    <x:col min="1" max="1" width="31" hidden="0" customWidth="1"/>
    <x:col min="2" max="2" width="105" hidden="0" customWidth="1"/>
    <x:col min="3" max="3" width="90" hidden="0" customWidth="1"/>
  </x:cols>
  <x:sheetData>
    <x:row r="1">
      <x:c r="A1" s="29"/>
      <x:c r="B1" s="29"/>
      <x:c r="C1" s="29"/>
    </x:row>
    <x:row r="2" ht="34" customHeight="1">
      <x:c r="A2" s="30" t="str">
        <x:v>Notes and sources</x:v>
      </x:c>
      <x:c r="B2" s="29" t="str">
        <x:v>Consolidated 2026-10-11. Original budget inputs and formulas are retained.</x:v>
      </x:c>
      <x:c r="C2" s="29"/>
    </x:row>
    <x:row r="3">
      <x:c r="A3" s="29"/>
      <x:c r="B3" s="29"/>
      <x:c r="C3" s="29"/>
    </x:row>
    <x:row r="4" ht="30" customHeight="1">
      <x:c r="A4" s="33" t="str">
        <x:v>Topic / identifier</x:v>
      </x:c>
      <x:c r="B4" s="33" t="str">
        <x:v>Explanation / retained source detail</x:v>
      </x:c>
      <x:c r="C4" s="33" t="str">
        <x:v>Source / provenance</x:v>
      </x:c>
    </x:row>
    <x:row r="5" ht="30" customHeight="1">
      <x:c r="A5" s="36" t="str">
        <x:v>Use this workbook</x:v>
      </x:c>
      <x:c r="B5" s="36" t="str"/>
      <x:c r="C5" s="36" t="str"/>
    </x:row>
    <x:row r="6" ht="40" customHeight="1">
      <x:c r="A6" s="29" t="str">
        <x:v>Complete BOM</x:v>
      </x:c>
      <x:c r="B6" s="29" t="str">
        <x:v>The five original worksheets contain 8 printed parts, 26 purchase rows, 61 PCB rows and 3 print batches. Summary retains the live budget formulas.</x:v>
      </x:c>
      <x:c r="C6" s="29" t="str"/>
    </x:row>
    <x:row r="7" ht="40" customHeight="1">
      <x:c r="A7" s="29" t="str">
        <x:v>Currency and updates</x:v>
      </x:c>
      <x:c r="B7" s="29" t="str">
        <x:v>All active English cost inputs and totals are USD. Original currency amounts below are historical source records only. The FX label is not a live repricing control.</x:v>
      </x:c>
      <x:c r="C7" s="29" t="str"/>
    </x:row>
    <x:row r="8" ht="40" customHeight="1">
      <x:c r="A8" s="29" t="str">
        <x:v>Change the FX basis</x:v>
      </x:c>
      <x:c r="B8" s="29" t="str">
        <x:v>Reprice Purchase column H, PCB column J, Summary F6, and the monetary inputs in Print_batches (G5:G7, B13 and B15). Update the snapshot description. Quantities and ownership continue to recalculate.</x:v>
      </x:c>
      <x:c r="C8" s="29" t="str">
        <x:v>Do not change only the FX label and assume that fixed USD inputs were converted.</x:v>
      </x:c>
    </x:row>
    <x:row r="9" ht="68" customHeight="1">
      <x:c r="A9" s="29" t="str">
        <x:v>Budget note 1</x:v>
      </x:c>
      <x:c r="B9" s="29" t="str">
        <x:v>2026-10-11. The English workbook and CSV cost columns use USD throughout. The Chinese workbook retains its existing NTD/USD views. Required, Developer and Future are the primary classes. Printed parts, PCB records and purchases retain separate detail. Specifications, purpose, price source and unresolved compatibility are distinguished.</x:v>
      </x:c>
      <x:c r="C9" s="29" t="str">
        <x:v>Retained budget reading notes; source prices dated 2026-10-08.</x:v>
      </x:c>
    </x:row>
    <x:row r="10" ht="68" customHeight="1">
      <x:c r="A10" s="29" t="str">
        <x:v>Budget note 2</x:v>
      </x:c>
      <x:c r="B10" s="29" t="str">
        <x:v>Required includes eight prints, the PCB and 13 purchased assembly lines. Developer includes 10 external programming, measurement, gas-delivery and tool lines. Borrowing is acceptable; gas delivery and flow verification remain necessary for gas experiments. Future contains PDMS, valve development and environment sensing. These three lines are excluded from current device budgets.</x:v>
      </x:c>
      <x:c r="C10" s="29" t="str">
        <x:v>Retained budget reading notes; source prices dated 2026-10-08.</x:v>
      </x:c>
    </x:row>
    <x:row r="11" ht="96" customHeight="1">
      <x:c r="A11" s="29" t="str">
        <x:v>Budget note 3</x:v>
      </x:c>
      <x:c r="B11" s="29" t="str">
        <x:v> These are budgets, not an order-ready total. The device includes USD 377.30 for a custom thin emission filter. Edmund 67-016 lists at USD 284, but its 12.5 mm diameter and approximately 2 mm thickness do not fit the 5.2 × 4.2 × 1.0 mm seat. Cutting the outline alone does not fix thickness. Obtain a dimensional, angular-spectrum and fabrication quotation. LEE 101 stacks are an experimental candidate in the optical comparison; their price and installed compatibility are not yet substituted for this allowance.</x:v>
      </x:c>
      <x:c r="C11" s="29" t="str">
        <x:v>Retained budget reading notes; source prices dated 2026-10-08.</x:v>
      </x:c>
    </x:row>
    <x:row r="12" ht="68" customHeight="1">
      <x:c r="A12" s="29" t="str">
        <x:v>Budget note 4</x:v>
      </x:c>
      <x:c r="B12" s="29" t="str">
        <x:v>The four-case optical report also evaluates Edmund #29-190, the 500 nm ultra-thin OD4 candidate. It differs from the older #67-016 budget reference. Neither its simulated curve nor its 12.45 mm disc establishes installed compatibility. The custom-filter allowance remains until the chosen filter and holder have a verified quote.</x:v>
      </x:c>
      <x:c r="C12" s="29" t="str">
        <x:v>Retained budget reading notes; source prices dated 2026-10-08.</x:v>
      </x:c>
    </x:row>
    <x:row r="13" ht="54" customHeight="1">
      <x:c r="A13" s="29" t="str">
        <x:v>Budget note 5</x:v>
      </x:c>
      <x:c r="B13" s="29" t="str">
        <x:v>Listed identifies a public price. Proxy identifies a comparable part or package. Allowance and Custom allowance are planning values, not verified market quotations. A reference price does not change the specified cap screws, regular M3 nuts or washers.</x:v>
      </x:c>
      <x:c r="C13" s="29" t="str">
        <x:v>Retained budget reading notes; source prices dated 2026-10-08.</x:v>
      </x:c>
    </x:row>
    <x:row r="14" ht="68" customHeight="1">
      <x:c r="A14" s="29" t="str">
        <x:v>Budget note 6</x:v>
      </x:c>
      <x:c r="B14" s="29" t="str">
        <x:v>The gas-filter proxy is Gilson ANP1322 at USD 95 per 100. Two used filters cost USD 1.90, while one box costs USD 95.00. This 0.22 µm nonsterile hydrophobic PTFE product is not a qualified replacement for the specified 0.2 µm gas filter. Cell use, fittings, pressure drop and VOC recovery need confirmation.</x:v>
      </x:c>
      <x:c r="C14" s="29" t="str">
        <x:v>Retained budget reading notes; source prices dated 2026-10-08.</x:v>
      </x:c>
    </x:row>
    <x:row r="15" ht="54" customHeight="1">
      <x:c r="A15" s="29" t="str">
        <x:v>Budget note 7</x:v>
      </x:c>
      <x:c r="B15" s="29" t="str">
        <x:v>On Purchase, unit prices in H are USD, pack sizes are in I, and owned quantity in J defaults to 0. Enter available or borrowed quantities. Pack count L and new-purchase cost M recalculate; used cost K remains. Allowances are not purchasing authorization or a requirement to buy new laboratory instruments.</x:v>
      </x:c>
      <x:c r="C15" s="29" t="str">
        <x:v>Retained budget reading notes; source prices dated 2026-10-08.</x:v>
      </x:c>
    </x:row>
    <x:row r="16" ht="82" customHeight="1">
      <x:c r="A16" s="29" t="str">
        <x:v>Budget note 8</x:v>
      </x:c>
      <x:c r="B16" s="29" t="str">
        <x:v>PCB preserves all 61 vendor references, quantities and values. Priced component estimates sum to USD 61.44. Unidentified U3 remains blank. Many passive values or packages remain unknown; generic budgets are not purchasing specifications. FD fiducials and H mounting holes are fabrication features with zero separate component cost. Do not add component estimates to the USD 4,126.71 two-board design/setup quotation.</x:v>
      </x:c>
      <x:c r="C16" s="29" t="str">
        <x:v>Retained budget reading notes; source prices dated 2026-10-08.</x:v>
      </x:c>
    </x:row>
    <x:row r="17" ht="96" customHeight="1">
      <x:c r="A17" s="29" t="str">
        <x:v>Budget note 9</x:v>
      </x:c>
      <x:c r="B17" s="29" t="str">
        <x:v>Printing uses the same three batches and formula, with each monetary input converted once: 1.2 × (fixed USD + source resin USD × 1.1 + minutes/60 × time USD/hour). The fixed input is 25/31.805 USD, and the time input is 7.195/31.805 USD/hour. Displayed batch totals are USD 16.52, 16.83 and 1.73. The full-precision total is USD 35.0695047948, displayed as USD 35.07. Sum full-precision values before rounding; displayed batch cents can differ from the rounded grand total. Combined batches are not split into invented unit prices. Original printing notes are preserved below.</x:v>
      </x:c>
      <x:c r="C17" s="29" t="str">
        <x:v>Retained budget reading notes; source prices dated 2026-10-08.</x:v>
      </x:c>
    </x:row>
    <x:row r="18" ht="96" customHeight="1">
      <x:c r="A18" s="29" t="str">
        <x:v>Budget note 10</x:v>
      </x:c>
      <x:c r="B18" s="29" t="str">
        <x:v>Currency conversion retains the project's recorded Bank of Taiwan USD spot-selling snapshot of 31.805 NTD per USD, dated 2026-10-05 15:13 and recorded on 2026-10-08. This revision does not claim a refreshed market or execution quote. USD inputs retain full precision, with two decimals displayed. Original NTD quotations remain only in source notes. English input prices are now fixed converted USD amounts; quantities, ownership and totals still recalculate. The displayed FX snapshot is provenance, not a live repricing control. To adopt a new exchange basis, reprice the USD input cells listed above.</x:v>
      </x:c>
      <x:c r="C18" s="29" t="str">
        <x:v>Retained budget reading notes; source prices dated 2026-10-08.</x:v>
      </x:c>
    </x:row>
    <x:row r="19" ht="40" customHeight="1">
      <x:c r="A19" s="29" t="str">
        <x:v>Budget note 11</x:v>
      </x:c>
      <x:c r="B19" s="29" t="str">
        <x:v>Shipping, extra taxes, unlisted labor, reprints, cell-culture consumables and replacement of existing printers, curing equipment, phones, computers and culture facilities are excluded.</x:v>
      </x:c>
      <x:c r="C19" s="29" t="str">
        <x:v>Retained budget reading notes; source prices dated 2026-10-08.</x:v>
      </x:c>
    </x:row>
    <x:row r="20" ht="54" customHeight="1">
      <x:c r="A20" s="29" t="str">
        <x:v>Budget note 12</x:v>
      </x:c>
      <x:c r="B20" s="29" t="str">
        <x:v>The entries below preserve the original observed or assumed quotation currency for audit. All English workbook cost columns and budget totals above are USD. Source prices are the existing 2026-10-08 research record and have not been refreshed in this currency-format revision.</x:v>
      </x:c>
      <x:c r="C20" s="29" t="str">
        <x:v>Retained budget reading notes; source prices dated 2026-10-08.</x:v>
      </x:c>
    </x:row>
    <x:row r="21" ht="30" customHeight="1">
      <x:c r="A21" s="36" t="str">
        <x:v>Original print-cost record</x:v>
      </x:c>
      <x:c r="B21" s="36" t="str"/>
      <x:c r="C21" s="36" t="str"/>
    </x:row>
    <x:row r="22" ht="28" customHeight="1">
      <x:c r="A22" s="29" t="str">
        <x:v>Printer and sliced batches</x:v>
      </x:c>
      <x:c r="B22" s="29" t="str">
        <x:v>Phrozen Sonic Mighty Revo 16K. P1: 01_base_BLACK.ctb; P2: 020308_parts.ctb; P3: 0407_wells.ctb.</x:v>
      </x:c>
      <x:c r="C22" s="29" t="str">
        <x:v>Historical slicer/cost inputs. CTB files are retained unchanged.</x:v>
      </x:c>
    </x:row>
    <x:row r="23" ht="40" customHeight="1">
      <x:c r="A23" s="29" t="str">
        <x:v>Original formula</x:v>
      </x:c>
      <x:c r="B23" s="29" t="str">
        <x:v>NTD = 1.2 × (25 + original resin subtotal × 1.1 + estimated printing hours × 7.195).</x:v>
      </x:c>
      <x:c r="C23" s="29" t="str">
        <x:v>NTD source formula only. Print_batches uses equivalent USD terms in the English workbook. No additional machine or resin-bottle cost is added.</x:v>
      </x:c>
    </x:row>
    <x:row r="24" ht="96" customHeight="1">
      <x:c r="A24" s="29" t="str">
        <x:v>P1: 01</x:v>
      </x:c>
      <x:c r="B24" s="29" t="str">
        <x:v>Material: PC/GF-like Black
Time: 17 h 35 min (1055 min)
Resin volume: 107.531 mL; mass: 118.285 g
Original resin quotation: NTD 260.226
Original reported total: NTD 525.313
Recomputed source-formula total: NTD 525.31282</x:v>
      </x:c>
      <x:c r="C24" s="29" t="str">
        <x:v>Original-quotation provenance. Active English totals are in USD on Print_batches.</x:v>
      </x:c>
    </x:row>
    <x:row r="25" ht="96" customHeight="1">
      <x:c r="A25" s="29" t="str">
        <x:v>P2: 02 + 03 + 08</x:v>
      </x:c>
      <x:c r="B25" s="29" t="str">
        <x:v>Material: PC/GF-like Black
Time: 16 h 19 min (979 min)
Resin volume: 114.027 mL; mass: 125.43 g
Original resin quotation: NTD 275.945
Original reported total: NTD 535.126
Recomputed source-formula total: NTD 535.1255</x:v>
      </x:c>
      <x:c r="C25" s="29" t="str">
        <x:v>Original-quotation provenance. Active English totals are in USD on Print_batches.</x:v>
      </x:c>
    </x:row>
    <x:row r="26" ht="96" customHeight="1">
      <x:c r="A26" s="29" t="str">
        <x:v>P3: 04 + 05 + 06 + 07</x:v>
      </x:c>
      <x:c r="B26" s="29" t="str">
        <x:v>Material: Aqua Clear Plus
Time: 2 h 42 min (162 min)
Resin volume: 1.198 mL; mass: 1.318 g
Original resin quotation: NTD 1.239
Original reported total: NTD 52.215
Recomputed source-formula total: NTD 54.94728</x:v>
      </x:c>
      <x:c r="C26" s="29" t="str">
        <x:v>Original-quotation provenance. Active English totals are in USD on Print_batches.</x:v>
      </x:c>
    </x:row>
    <x:row r="27" ht="40" customHeight="1">
      <x:c r="A27" s="29" t="str">
        <x:v>P3 discrepancy</x:v>
      </x:c>
      <x:c r="B27" s="29" t="str">
        <x:v>The original clear-well batch reports NTD 52.215. Its stated inputs and formula give NTD 54.94728. The budget uses the formula result. P1/P2 differences are source rounding.</x:v>
      </x:c>
      <x:c r="C27" s="29" t="str"/>
    </x:row>
    <x:row r="28" ht="40" customHeight="1">
      <x:c r="A28" s="29" t="str">
        <x:v>Rounding and source identity</x:v>
      </x:c>
      <x:c r="B28" s="29" t="str">
        <x:v>Sum the three full-precision batch results before displaying two decimals. Combined batches do not establish per-part prices.</x:v>
      </x:c>
      <x:c r="C28" s="29" t="str">
        <x:v>Original print-cost record SHA256: 174599bf359f0186bfe581aab6033953525edf30911b7083e27cb033251b24dd</x:v>
      </x:c>
    </x:row>
    <x:row r="29" ht="30" customHeight="1">
      <x:c r="A29" s="36" t="str">
        <x:v>Price-source register</x:v>
      </x:c>
      <x:c r="B29" s="36" t="str"/>
      <x:c r="C29" s="36" t="str"/>
    </x:row>
    <x:row r="30" ht="54" customHeight="1">
      <x:c r="A30" s="29" t="str">
        <x:v>FX</x:v>
      </x:c>
      <x:c r="B30" s="29" t="str">
        <x:v>Bank of Taiwan USD spot selling
2026-10-05 15:13 displayed snapshot: USD spot buy 31.705, sell 31.805. Budget conversion uses sell 31.805, not an October 8 live execution quote.</x:v>
      </x:c>
      <x:c r="C30" s="29" t="str">
        <x:v>https://www.bot.com.tw/tw/personal-banking/foreign-exchange</x:v>
      </x:c>
    </x:row>
    <x:row r="31" ht="40" customHeight="1">
      <x:c r="A31" s="29" t="str">
        <x:v>FAN</x:v>
      </x:c>
      <x:c r="B31" s="29" t="str">
        <x:v>DigiKey MF40100V1-1000U-A99
NTD 161 at quantity 1. Listed out of stock. Shipping and local tax not added.</x:v>
      </x:c>
      <x:c r="C31" s="29" t="str">
        <x:v>https://www.digikey.tw/en/products/detail/sunon-fans/MF40100V1-1000U-A99/6198732</x:v>
      </x:c>
    </x:row>
    <x:row r="32" ht="68" customHeight="1">
      <x:c r="A32" s="29" t="str">
        <x:v>FASTENER</x:v>
      </x:c>
      <x:c r="B32" s="29" t="str">
        <x:v>Local small-fastener retail benchmark
Listing shows small M3 fasteners around NTD 3 individually. Listed flat-head type is NOT the specified socket cap. Budget allowances 3/4/6 NTD for M3x8/16/35 cap screws, 2 for nuts and 1 for washers; local exact-type prices unverified.</x:v>
      </x:c>
      <x:c r="C32" s="29" t="str">
        <x:v>https://www.ruten.com.tw/item/21306183365097/</x:v>
      </x:c>
    </x:row>
    <x:row r="33" ht="54" customHeight="1">
      <x:c r="A33" s="29" t="str">
        <x:v>SEAL</x:v>
      </x:c>
      <x:c r="B33" s="29" t="str">
        <x:v>Black silicone sheet size reference
0.8 mm selectable stock; exact price unavailable. NTD 150 per small sheet is an engineering allowance, not a verified selling price. Hardness and VOC compatibility unqualified.</x:v>
      </x:c>
      <x:c r="C33" s="29" t="str">
        <x:v>https://www.ruten.com.tw/item/22517308416481/</x:v>
      </x:c>
    </x:row>
    <x:row r="34" ht="54" customHeight="1">
      <x:c r="A34" s="29" t="str">
        <x:v>POWER</x:v>
      </x:c>
      <x:c r="B34" s="29" t="str">
        <x:v>Adafruit 4298 USB-C supply
USD 8.74, 5.1 V 3 A with cable. Price benchmark only; vendor must confirm input and charging configuration. Current budget uses external power, not an unconfirmed battery.</x:v>
      </x:c>
      <x:c r="C34" s="29" t="str">
        <x:v>https://www.adafruit.com/product/4298</x:v>
      </x:c>
    </x:row>
    <x:row r="35" ht="68" customHeight="1">
      <x:c r="A35" s="29" t="str">
        <x:v>GASFILTER</x:v>
      </x:c>
      <x:c r="B35" s="29" t="str">
        <x:v>Gilson ANP1322 SupaTop
USD 95 per 100. Hydrophobic PTFE, 13 mm, 0.22 um, NONSTERILE, air venting listed. Price proxy for 0.2 um gas-filter requirement, not certified sterile replacement. Two used per device; buying a box costs 100 filters.</x:v>
      </x:c>
      <x:c r="C35" s="29" t="str">
        <x:v>https://www.gilson.com/default/catalog/product/view/id/1204/</x:v>
      </x:c>
    </x:row>
    <x:row r="36" ht="54" customHeight="1">
      <x:c r="A36" s="29" t="str">
        <x:v>PTFE</x:v>
      </x:c>
      <x:c r="B36" s="29" t="str">
        <x:v>Tinkersphere 2 mm ID 3 mm OD PTFE
Search listing USD 4.99; sold length not verified. NTD 200 per 1 m is a separate allowance. Printer-feed tubing is not qualified analytical tubing.</x:v>
      </x:c>
      <x:c r="C36" s="29" t="str">
        <x:v>https://tinkersphere.com/3d-printer-parts-supplies/2015-ptfe-teflon-tube-2mm-id-3mm-od-for-175-mm-filament.html</x:v>
      </x:c>
    </x:row>
    <x:row r="37" ht="54" customHeight="1">
      <x:c r="A37" s="29" t="str">
        <x:v>COUPLER</x:v>
      </x:c>
      <x:c r="B37" s="29" t="str">
        <x:v>Adafruit 3 mm ID silicone tubing reference
Related tubing listed USD 2.50 per metre. Budget NTD 150 includes short flexible couplers and matching adapters. Exact ID/OD, Luer interfaces and VOC recovery must be checked; no fit guarantee.</x:v>
      </x:c>
      <x:c r="C37" s="29" t="str">
        <x:v>https://www.adafruit.com/product/4699</x:v>
      </x:c>
    </x:row>
    <x:row r="38" ht="68" customHeight="1">
      <x:c r="A38" s="29" t="str">
        <x:v>OPTIC</x:v>
      </x:c>
      <x:c r="B38" s="29" t="str">
        <x:v>Edmund Optics 67-016 520 nm emission filter
USD 284, 12.5 mm diameter, substrate 2.00 +/-0.25 mm, mounted. Does NOT fit 5.2x4.2x1.0 mm seat. NTD 12000 is a custom thin-filter budget allowance, not a quote or available drop-in part. Cutting this stock part does not solve its thickness mismatch.</x:v>
      </x:c>
      <x:c r="C38" s="29" t="str">
        <x:v>https://www.edmundoptics.com/p/520nm-cwl-125mm-dia-36nm-bandwidth-od-6-fluorescence-filter/21556/</x:v>
      </x:c>
    </x:row>
    <x:row r="39" ht="54" customHeight="1">
      <x:c r="A39" s="29" t="str">
        <x:v>UART</x:v>
      </x:c>
      <x:c r="B39" s="29" t="str">
        <x:v>Adafruit 5335 CP2102N Friend
USD 5.95 each. Signals 3.3 V; power wire 5 V. Leave VCC disconnected at J3. Cable and jumper wires separate.</x:v>
      </x:c>
      <x:c r="C39" s="29" t="str">
        <x:v>https://www.adafruit.com/product/5335</x:v>
      </x:c>
    </x:row>
    <x:row r="40" ht="68" customHeight="1">
      <x:c r="A40" s="29" t="str">
        <x:v>PUMP</x:v>
      </x:c>
      <x:c r="B40" s="29" t="str">
        <x:v>Adafruit 4699 gas pump price benchmark
USD 7.95 for pump alone. 2.5 L/min, intermittent duty; NOT a selected 3 mL/min continuous source. NTD 5000 system allowance requires a qualified controlled source, bypass/regulation, pressure protection, fittings and supply. Borrow a suitable lab system first.</x:v>
      </x:c>
      <x:c r="C40" s="29" t="str">
        <x:v>https://www.adafruit.com/product/4699</x:v>
      </x:c>
    </x:row>
    <x:row r="41" ht="68" customHeight="1">
      <x:c r="A41" s="29" t="str">
        <x:v>FLOW</x:v>
      </x:c>
      <x:c r="B41" s="29" t="str">
        <x:v>Omega precision rotameter range reference
FL-320 nominal air range 0.02-15 cc/min. Historical price deliberately not treated as current. NTD 15000 is a planning allowance pending current calibrated meter quote; 3 mL/min must fall within usable range.</x:v>
      </x:c>
      <x:c r="C41" s="29" t="str">
        <x:v>https://br.omega.com/omegaFiles/green/pdf/FL120.pdf</x:v>
      </x:c>
    </x:row>
    <x:row r="42" ht="54" customHeight="1">
      <x:c r="A42" s="29" t="str">
        <x:v>DYE</x:v>
      </x:c>
      <x:c r="B42" s="29" t="str">
        <x:v>Sigma 46970 sodium fluorescein
USD 52.60 per 100 g. Budget includes whole bottle, not a fictitious single-well quantity. Prefer a documented laboratory aliquot. Not an assay-specific or GCaMP-certified standard.</x:v>
      </x:c>
      <x:c r="C42" s="29" t="str">
        <x:v>https://www.sigmaaldrich.com/US/en/product/sigma/46970</x:v>
      </x:c>
    </x:row>
    <x:row r="43" ht="54" customHeight="1">
      <x:c r="A43" s="29" t="str">
        <x:v>VALVE</x:v>
      </x:c>
      <x:c r="B43" s="29" t="str">
        <x:v>Adafruit 4663 FA0520E
USD 2.95 for 6 V valve alone. NTD 500 system allowance includes driver, flyback diode, supply and fittings. Future only; VOC wetted-material suitability and firmware support unverified.</x:v>
      </x:c>
      <x:c r="C43" s="29" t="str">
        <x:v>https://www.adafruit.com/product/4663</x:v>
      </x:c>
    </x:row>
    <x:row r="44" ht="54" customHeight="1">
      <x:c r="A44" s="29" t="str">
        <x:v>PDMS</x:v>
      </x:c>
      <x:c r="B44" s="29" t="str">
        <x:v>Dow Sylgard 184 0.5 kg kit reference
Kit identity found; current public price not verified. NTD 6000 planning allowance for kit and basic casting consumables. No claim that PDMS removes water selectively.</x:v>
      </x:c>
      <x:c r="C44" s="29" t="str">
        <x:v>https://labproinc.com/products/dow-sylgard-184-silicone-encapsulant-clear-0-5-kg-kit-184-sil-elast-kit-0-5kg</x:v>
      </x:c>
    </x:row>
    <x:row r="45" ht="68" customHeight="1">
      <x:c r="A45" s="29" t="str">
        <x:v>TOOLS</x:v>
      </x:c>
      <x:c r="B45" s="29" t="str">
        <x:v>Local tools and lab access allowance
Engineering allowances only: hand tools/calipers NTD 1500; DMM 800; scope 10000; pipette/tips 4000; print/post-cure supplies 300. Borrow existing printer, wash/cure equipment, PC, phone, biosafety/cell facilities. Their capital replacement prices are outside this BOM.</x:v>
      </x:c>
      <x:c r="C45" s="29" t="str">
        <x:v>Original planning record; no public price URL.</x:v>
      </x:c>
    </x:row>
    <x:row r="46" ht="40" customHeight="1">
      <x:c r="A46" s="29" t="str">
        <x:v>PCB_LED</x:v>
      </x:c>
      <x:c r="B46" s="29" t="str">
        <x:v>DigiKey 155124BS73200
NTD 17 each at quantity 1.</x:v>
      </x:c>
      <x:c r="C46" s="29" t="str">
        <x:v>https://www.digikey.tw/en/products/detail/w%C3%BCrth-elektronik/155124BS73200/4490035</x:v>
      </x:c>
    </x:row>
    <x:row r="47" ht="40" customHeight="1">
      <x:c r="A47" s="29" t="str">
        <x:v>PCB_PD</x:v>
      </x:c>
      <x:c r="B47" s="29" t="str">
        <x:v>DigiKey VEMD5060X01
NTD 68 each at quantity 1.</x:v>
      </x:c>
      <x:c r="C47" s="29" t="str">
        <x:v>https://www.digikey.tw/en/products/detail/vishay-semiconductor-opto-division/VEMD5060X01/5879084</x:v>
      </x:c>
    </x:row>
    <x:row r="48" ht="54" customHeight="1">
      <x:c r="A48" s="29" t="str">
        <x:v>PCB_U1</x:v>
      </x:c>
      <x:c r="B48" s="29" t="str">
        <x:v>DigiKey TPS61023 family
Search results list TPS61023DRLT cut tape NTD 52. Packaging-suffix proxy for vendor TPS61023; exact order code requires confirmation.</x:v>
      </x:c>
      <x:c r="C48" s="29" t="str">
        <x:v>https://www.digikey.tw/en/products/detail/texas-instruments/TPS61023DRLR/11310629</x:v>
      </x:c>
    </x:row>
    <x:row r="49" ht="40" customHeight="1">
      <x:c r="A49" s="29" t="str">
        <x:v>PCB_U2</x:v>
      </x:c>
      <x:c r="B49" s="29" t="str">
        <x:v>DigiKey BQ24074RGTR
NTD 88 each at quantity 1; RGT package assumed from schematic.</x:v>
      </x:c>
      <x:c r="C49" s="29" t="str">
        <x:v>https://www.digikey.tw/en/products/detail/texas-instruments/BQ24074RGTR/2047269</x:v>
      </x:c>
    </x:row>
    <x:row r="50" ht="40" customHeight="1">
      <x:c r="A50" s="29" t="str">
        <x:v>PCB_U4</x:v>
      </x:c>
      <x:c r="B50" s="29" t="str">
        <x:v>DigiKey ESP32-WROOM-32E-N4
NTD 181 each. N4 is a price proxy; vendor flash suffix missing.</x:v>
      </x:c>
      <x:c r="C50" s="29" t="str">
        <x:v>https://www.digikey.tw/en/products/detail/espressif-systems/ESP32-WROOM-32E-N4/11613125</x:v>
      </x:c>
    </x:row>
    <x:row r="51" ht="40" customHeight="1">
      <x:c r="A51" s="29" t="str">
        <x:v>PCB_U6</x:v>
      </x:c>
      <x:c r="B51" s="29" t="str">
        <x:v>DigiKey LP5907MFX-3.3/NOPB
NTD 24 each at quantity 1.</x:v>
      </x:c>
      <x:c r="C51" s="29" t="str">
        <x:v>https://www.digikey.tw/en/products/detail/texas-instruments/LP5907MFX-3-3-NOPB/3906441</x:v>
      </x:c>
    </x:row>
    <x:row r="52" ht="40" customHeight="1">
      <x:c r="A52" s="29" t="str">
        <x:v>PCB_U7</x:v>
      </x:c>
      <x:c r="B52" s="29" t="str">
        <x:v>DigiKey LTC6655BHMS8-2.5#TRPBF
NTD 628 for cut tape. Packaging proxy for #PBF; listed no stock.</x:v>
      </x:c>
      <x:c r="C52" s="29" t="str">
        <x:v>https://www.digikey.tw/en/products/detail/analog-devices-inc/LTC6655BHMS8-2-5-TRPBF/2181717</x:v>
      </x:c>
    </x:row>
    <x:row r="53" ht="40" customHeight="1">
      <x:c r="A53" s="29" t="str">
        <x:v>PCB_U8</x:v>
      </x:c>
      <x:c r="B53" s="29" t="str">
        <x:v>DigiKey LMP7721MAX/NOPB listing
Search listing NTD 226 for MAX/NOPB. Vendor LMP7721 suffix missing; package proxy.</x:v>
      </x:c>
      <x:c r="C53" s="29" t="str">
        <x:v>https://www.digikey.tw/en/products/filter/linear/amplifiers/instrumentation-op-amps-buffer-amps/687</x:v>
      </x:c>
    </x:row>
    <x:row r="54" ht="40" customHeight="1">
      <x:c r="A54" s="29" t="str">
        <x:v>PCB_U9</x:v>
      </x:c>
      <x:c r="B54" s="29" t="str">
        <x:v>DigiKey ADS8866IDGS
NTD 306 each at quantity 1.</x:v>
      </x:c>
      <x:c r="C54" s="29" t="str">
        <x:v>https://www.digikey.tw/zh/products/detail/texas-instruments/ADS8866IDGS/5176196</x:v>
      </x:c>
    </x:row>
    <x:row r="55" ht="82" customHeight="1">
      <x:c r="A55" s="29" t="str">
        <x:v>PCB_MISC</x:v>
      </x:c>
      <x:c r="B55" s="29" t="str">
        <x:v>Unspecified PCB parts allowance
Generic single-piece budgets, NOT verified quotations: small resistors NTD 1, high-value resistor 30, shunt 5; ceramics 2-8; bulk capacitor 15; LED 2; MOSFET 5; inductor 10; connectors 5-30; switches 5-15; linear regulator 10. Unknown U3 remains unpriced. Do not purchase substitutes without vendor values, packages and ratings.</x:v>
      </x:c>
      <x:c r="C55" s="29" t="str">
        <x:v>Original planning record; no public price URL.</x:v>
      </x:c>
    </x:row>
    <x:row r="56" ht="30" customHeight="1">
      <x:c r="A56" s="36" t="str">
        <x:v>Specification-source register</x:v>
      </x:c>
      <x:c r="B56" s="36" t="str"/>
      <x:c r="C56" s="36" t="str"/>
    </x:row>
    <x:row r="57" ht="28" customHeight="1">
      <x:c r="A57" s="29" t="str">
        <x:v>procurement: CAD</x:v>
      </x:c>
      <x:c r="B57" s="29" t="str">
        <x:v>Existing frozen geometry; read-only audit, no changes.</x:v>
      </x:c>
      <x:c r="C57" s="29" t="str">
        <x:v>Original source identifier: 09_engineering_sources/CAD/aerosense.scad</x:v>
      </x:c>
    </x:row>
    <x:row r="58" ht="28" customHeight="1">
      <x:c r="A58" s="29" t="str">
        <x:v>procurement: STL</x:v>
      </x:c>
      <x:c r="B58" s="29" t="str">
        <x:v>All8 binary STL bounds independently read; exported Z minima are0. Assembly coordinates are separate.</x:v>
      </x:c>
      <x:c r="C58" s="29" t="str">
        <x:v>Original source identifier: 01_print</x:v>
      </x:c>
    </x:row>
    <x:row r="59" ht="28" customHeight="1">
      <x:c r="A59" s="29" t="str">
        <x:v>procurement: ASM</x:v>
      </x:c>
      <x:c r="B59" s="29" t="str"/>
      <x:c r="C59" s="29" t="str">
        <x:v>Original source identifier: 04_manuals/Assembly_Manual_ZH.md</x:v>
      </x:c>
    </x:row>
    <x:row r="60" ht="40" customHeight="1">
      <x:c r="A60" s="29" t="str">
        <x:v>procurement: GASKET</x:v>
      </x:c>
      <x:c r="B60" s="29" t="str"/>
      <x:c r="C60" s="29" t="str">
        <x:v>Original source identifier: 09_engineering_sources/CAD/drawings/gasket_cut_template_1to1.svg</x:v>
      </x:c>
    </x:row>
    <x:row r="61" ht="28" customHeight="1">
      <x:c r="A61" s="29" t="str">
        <x:v>procurement: FLOW</x:v>
      </x:c>
      <x:c r="B61" s="29" t="str"/>
      <x:c r="C61" s="29" t="str">
        <x:v>Original source identifier: 02_simulation/airflow/Flow_Operation_ZH.md</x:v>
      </x:c>
    </x:row>
    <x:row r="62" ht="28" customHeight="1">
      <x:c r="A62" s="29" t="str">
        <x:v>procurement: OPTICS</x:v>
      </x:c>
      <x:c r="B62" s="29" t="str"/>
      <x:c r="C62" s="29" t="str">
        <x:v>Original source identifier: 02_simulation/optics/Analysis_EN.md</x:v>
      </x:c>
    </x:row>
    <x:row r="63" ht="28" customHeight="1">
      <x:c r="A63" s="29" t="str">
        <x:v>procurement: OPERATION</x:v>
      </x:c>
      <x:c r="B63" s="29" t="str"/>
      <x:c r="C63" s="29" t="str">
        <x:v>Original source identifier: 03_software/guides/Operation_and_Setup_EN.md</x:v>
      </x:c>
    </x:row>
    <x:row r="64" ht="28" customHeight="1">
      <x:c r="A64" s="29" t="str">
        <x:v>procurement: VALIDATION</x:v>
      </x:c>
      <x:c r="B64" s="29" t="str"/>
      <x:c r="C64" s="29" t="str">
        <x:v>Original source identifier: 07_validation/Fluorescence_and_Cell_Test_ZH.md</x:v>
      </x:c>
    </x:row>
    <x:row r="65" ht="28" customHeight="1">
      <x:c r="A65" s="29" t="str">
        <x:v>procurement: ELEC</x:v>
      </x:c>
      <x:c r="B65" s="29" t="str">
        <x:v>Schematic interpretation supplied by optics audit agent2026-10-06; value/MPN uncertainties retained.</x:v>
      </x:c>
      <x:c r="C65" s="29" t="str">
        <x:v>Original source identifier: 08_reference/NTHU_TEST_BOARD_Schematic.pdf</x:v>
      </x:c>
    </x:row>
    <x:row r="66" ht="28" customHeight="1">
      <x:c r="A66" s="29" t="str">
        <x:v>procurement: FAN</x:v>
      </x:c>
      <x:c r="B66" s="29" t="str">
        <x:v>Official SUNON catalogue,printed p32/PDF p32; candidate5V136mA0.68W;frame40±0.5,pitch32±0.3.</x:v>
      </x:c>
      <x:c r="C66" s="29" t="str">
        <x:v>https://www.sunon.com/eu/MANAGE/Docs/WEBCONT/Files/1236/DC%20Fan_20240630(255-E)_s.pdf</x:v>
      </x:c>
    </x:row>
    <x:row r="67" ht="40" customHeight="1">
      <x:c r="A67" s="29" t="str">
        <x:v>procurement: SCREW</x:v>
      </x:c>
      <x:c r="B67" s="29" t="str">
        <x:v>Official Bossard M3 ISO4762/DIN912 dimensional reference:head5.5,height3,hex2.5. This30-mm article is a family-dimension reference,not a purchased length or MPN selection.</x:v>
      </x:c>
      <x:c r="C67" s="29" t="str">
        <x:v>https://nederland.bossard.com/en-us/standard-fastening-elements/screws/screws-and-bolts-with-internal-drive/912000a20030030</x:v>
      </x:c>
    </x:row>
    <x:row r="68" ht="28" customHeight="1">
      <x:c r="A68" s="29" t="str">
        <x:v>procurement: PITCH</x:v>
      </x:c>
      <x:c r="B68" s="29" t="str">
        <x:v>Official KIPP coarse metric pitch:M3×0.5.</x:v>
      </x:c>
      <x:c r="C68" s="29" t="str">
        <x:v>https://www.kippusa.com/en-us/measurement-units</x:v>
      </x:c>
    </x:row>
    <x:row r="69" ht="40" customHeight="1">
      <x:c r="A69" s="29" t="str">
        <x:v>procurement: NUT</x:v>
      </x:c>
      <x:c r="B69" s="29" t="str">
        <x:v>Bossard manufacturer datasheet hosted by distributor,BN629 DIN934/~ISO4032:M3,AF5.5,height max2.4. Dimensional evidence,not selected MPN.</x:v>
      </x:c>
      <x:c r="C69" s="29" t="str">
        <x:v>https://media.distrelec.com/Web/Downloads/_t/ds/1241613_eng_tds.pdf</x:v>
      </x:c>
    </x:row>
    <x:row r="70" ht="40" customHeight="1">
      <x:c r="A70" s="29" t="str">
        <x:v>procurement: WASHER</x:v>
      </x:c>
      <x:c r="B70" s="29" t="str">
        <x:v>Direct supplier dimensional reference:ID3.2/OD7/thickness0.5. Nylon article is not a final material/MPN selection; PCB insulation choice remains open.</x:v>
      </x:c>
      <x:c r="C70" s="29" t="str">
        <x:v>https://www.accu.co.uk/metric-flat-washers/465682-HPW-3-2-7-0-5-N</x:v>
      </x:c>
    </x:row>
    <x:row r="71" ht="54" customHeight="1">
      <x:c r="A71" s="29" t="str">
        <x:v>PCB: vendor_BOM</x:v>
      </x:c>
      <x:c r="B71" s="29" t="str">
        <x:v>NTHU_TEST_BOARD_BOM.docx, vendor table, 61 rows
Accessed: 2026-10-06
SHA256: 3541da4a10afbfc371f4ec7c8094329fea7ed84635b543628252fe67276fa4b8</x:v>
      </x:c>
      <x:c r="C71" s="29" t="str">
        <x:v>Original source identifier: 08_reference/NTHU_TEST_BOARD_BOM.docx</x:v>
      </x:c>
    </x:row>
    <x:row r="72" ht="54" customHeight="1">
      <x:c r="A72" s="29" t="str">
        <x:v>PCB: schematic</x:v>
      </x:c>
      <x:c r="B72" s="29" t="str">
        <x:v>NTHU_TEST_BOARD_Schematic.pdf, version A, 14 September 2026, sheets 1–2
Accessed: 2026-10-06
SHA256: c8cfc0600a6d34740c1caac24f37d9eaea6bea59b88278e4258988769939d07e</x:v>
      </x:c>
      <x:c r="C72" s="29" t="str">
        <x:v>Original source identifier: 08_reference/NTHU_TEST_BOARD_Schematic.pdf</x:v>
      </x:c>
    </x:row>
    <x:row r="73" ht="40" customHeight="1">
      <x:c r="A73" s="29" t="str">
        <x:v>PCB: TI_TPS61023</x:v>
      </x:c>
      <x:c r="B73" s="29" t="str">
        <x:v>Texas Instruments TPS61023 product information
Accessed: 2026-10-06</x:v>
      </x:c>
      <x:c r="C73" s="29" t="str">
        <x:v>https://www.ti.com/product/TPS61023</x:v>
      </x:c>
    </x:row>
    <x:row r="74" ht="40" customHeight="1">
      <x:c r="A74" s="29" t="str">
        <x:v>PCB: TI_BQ24074</x:v>
      </x:c>
      <x:c r="B74" s="29" t="str">
        <x:v>Texas Instruments BQ24074 product information
Accessed: 2026-10-06</x:v>
      </x:c>
      <x:c r="C74" s="29" t="str">
        <x:v>https://www.ti.com/product/BQ24074</x:v>
      </x:c>
    </x:row>
    <x:row r="75" ht="40" customHeight="1">
      <x:c r="A75" s="29" t="str">
        <x:v>PCB: TI_LP5907</x:v>
      </x:c>
      <x:c r="B75" s="29" t="str">
        <x:v>Texas Instruments LP5907 datasheet, ordering/package information
Accessed: 2026-10-06</x:v>
      </x:c>
      <x:c r="C75" s="29" t="str">
        <x:v>https://www.ti.com/lit/ds/symlink/lp5907.pdf</x:v>
      </x:c>
    </x:row>
    <x:row r="76" ht="40" customHeight="1">
      <x:c r="A76" s="29" t="str">
        <x:v>PCB: TI_LMP7721</x:v>
      </x:c>
      <x:c r="B76" s="29" t="str">
        <x:v>Texas Instruments LMP7721 product information
Accessed: 2026-10-06</x:v>
      </x:c>
      <x:c r="C76" s="29" t="str">
        <x:v>https://www.ti.com/product/LMP7721</x:v>
      </x:c>
    </x:row>
    <x:row r="77" ht="40" customHeight="1">
      <x:c r="A77" s="29" t="str">
        <x:v>PCB: TI_ADS8866</x:v>
      </x:c>
      <x:c r="B77" s="29" t="str">
        <x:v>Texas Instruments ADS8866 datasheet, ADS8866IDGS ordering information
Accessed: 2026-10-06</x:v>
      </x:c>
      <x:c r="C77" s="29" t="str">
        <x:v>https://www.ti.com/lit/ds/symlink/ads8866.pdf</x:v>
      </x:c>
    </x:row>
    <x:row r="78" ht="40" customHeight="1">
      <x:c r="A78" s="29" t="str">
        <x:v>PCB: ADI_LTC6655</x:v>
      </x:c>
      <x:c r="B78" s="29" t="str">
        <x:v>Analog Devices LTC6655 / LTC6655LN datasheet
Accessed: 2026-10-06</x:v>
      </x:c>
      <x:c r="C78" s="29" t="str">
        <x:v>https://www.analog.com/media/en/technical-documentation/data-sheets/LTC6655-6655LN.pdf</x:v>
      </x:c>
    </x:row>
    <x:row r="79" ht="40" customHeight="1">
      <x:c r="A79" s="29" t="str">
        <x:v>PCB: ECMOS_EC50117</x:v>
      </x:c>
      <x:c r="B79" s="29" t="str">
        <x:v>E-CMOS EC50117 datasheet 9L05N Rev F004; page 2 EC50117KBG ordering row
Accessed: 2026-10-06</x:v>
      </x:c>
      <x:c r="C79" s="29" t="str">
        <x:v>https://www.ecmos.com.tw/wp-content/uploads/2022/07/EC50117_9L05N-Rev.F004.pdf</x:v>
      </x:c>
    </x:row>
    <x:row r="80" ht="40" customHeight="1">
      <x:c r="A80" s="29" t="str">
        <x:v>PCB: ESPRESSIF_32E</x:v>
      </x:c>
      <x:c r="B80" s="29" t="str">
        <x:v>Espressif ESP32-WROOM-32E / ESP32-WROOM-32UE datasheet
Accessed: 2026-10-06</x:v>
      </x:c>
      <x:c r="C80" s="29" t="str">
        <x:v>https://www.espressif.com/sites/default/files/documentation/esp32-wroom-32e_esp32-wroom-32ue_datasheet_en.pdf</x:v>
      </x:c>
    </x:row>
    <x:row r="81" ht="40" customHeight="1">
      <x:c r="A81" s="29" t="str">
        <x:v>PCB: WURTH_LED</x:v>
      </x:c>
      <x:c r="B81" s="29" t="str">
        <x:v>Würth Elektronik 155124BS73200 datasheet
Accessed: 2026-10-06</x:v>
      </x:c>
      <x:c r="C81" s="29" t="str">
        <x:v>https://www.we-online.com/components/products/datasheet/155124BS73200.pdf</x:v>
      </x:c>
    </x:row>
    <x:row r="82" ht="40" customHeight="1">
      <x:c r="A82" s="29" t="str">
        <x:v>PCB: VISHAY_PD</x:v>
      </x:c>
      <x:c r="B82" s="29" t="str">
        <x:v>Vishay VEMD5060X01 product information, document 84278
Accessed: 2026-10-06</x:v>
      </x:c>
      <x:c r="C82" s="29" t="str">
        <x:v>https://www.vishay.com/en/product/84278/</x:v>
      </x:c>
    </x:row>
    <x:row r="83" ht="40" customHeight="1">
      <x:c r="A83" s="29" t="str">
        <x:v>PCB: AOS_AO3400A</x:v>
      </x:c>
      <x:c r="B83" s="29" t="str">
        <x:v>Alpha &amp; Omega Semiconductor AO3400A datasheet
Accessed: 2026-10-06</x:v>
      </x:c>
      <x:c r="C83" s="29" t="str">
        <x:v>https://www.aosmd.com/res/data_sheets/AO3400A.pdf</x:v>
      </x:c>
    </x:row>
    <x:row r="84" ht="30" customHeight="1">
      <x:c r="A84" s="36" t="str">
        <x:v>Additional purchase provenance</x:v>
      </x:c>
      <x:c r="B84" s="36" t="str"/>
      <x:c r="C84" s="36" t="str"/>
    </x:row>
    <x:row r="85" ht="40" customHeight="1">
      <x:c r="A85" s="29" t="str">
        <x:v>Historical fields</x:v>
      </x:c>
      <x:c r="B85" s="29" t="str">
        <x:v>These original source fields preserve model/part identifiers and earlier estimates. They do not override active price inputs or add to totals.</x:v>
      </x:c>
      <x:c r="C85" s="29" t="str"/>
    </x:row>
    <x:row r="86" ht="96" customHeight="1">
      <x:c r="A86" s="29" t="str">
        <x:v>F01</x:v>
      </x:c>
      <x:c r="B86" s="29" t="str">
        <x:v>price_source: FAN
source: RS 2025400 viewed 2026-09-24 incl tax; out of stock then. https://twcn.rs-online.com/web/p/axial-fans/2025400
low: 161
high: 161
source_en: CAD; ASM; FAN</x:v>
      </x:c>
      <x:c r="C86" s="29" t="str">
        <x:v>Historical source fields; active prices are on Purchase.</x:v>
      </x:c>
    </x:row>
    <x:row r="87" ht="82" customHeight="1">
      <x:c r="A87" s="29" t="str">
        <x:v>H01</x:v>
      </x:c>
      <x:c r="B87" s="29" t="str">
        <x:v>price_source: FASTENER
source: Quotation pending; no invented price
low: 3
high: 3
source_en: CAD; ASM; SCREW; PITCH</x:v>
      </x:c>
      <x:c r="C87" s="29" t="str">
        <x:v>Historical source fields; active prices are on Purchase.</x:v>
      </x:c>
    </x:row>
    <x:row r="88" ht="82" customHeight="1">
      <x:c r="A88" s="29" t="str">
        <x:v>H02</x:v>
      </x:c>
      <x:c r="B88" s="29" t="str">
        <x:v>price_source: FASTENER
source: Quotation pending; no invented price
low: 4
high: 4
source_en: CAD; ASM; SCREW; PITCH</x:v>
      </x:c>
      <x:c r="C88" s="29" t="str">
        <x:v>Historical source fields; active prices are on Purchase.</x:v>
      </x:c>
    </x:row>
    <x:row r="89" ht="82" customHeight="1">
      <x:c r="A89" s="29" t="str">
        <x:v>H03</x:v>
      </x:c>
      <x:c r="B89" s="29" t="str">
        <x:v>price_source: FASTENER
source: Quotation pending; no invented price
low: 6
high: 6
source_en: CAD; ASM; SCREW; PITCH</x:v>
      </x:c>
      <x:c r="C89" s="29" t="str">
        <x:v>Historical source fields; active prices are on Purchase.</x:v>
      </x:c>
    </x:row>
    <x:row r="90" ht="82" customHeight="1">
      <x:c r="A90" s="29" t="str">
        <x:v>H04</x:v>
      </x:c>
      <x:c r="B90" s="29" t="str">
        <x:v>price_source: FASTENER
source: Planning allowance, NOT supplier quote
low: 2
high: 2
source_en: CAD; ASM; NUT</x:v>
      </x:c>
      <x:c r="C90" s="29" t="str">
        <x:v>Historical source fields; active prices are on Purchase.</x:v>
      </x:c>
    </x:row>
    <x:row r="91" ht="82" customHeight="1">
      <x:c r="A91" s="29" t="str">
        <x:v>H05</x:v>
      </x:c>
      <x:c r="B91" s="29" t="str">
        <x:v>price_source: FASTENER
source: Planning allowance, NOT supplier quote
low: 1
high: 1
source_en: CAD; ASM; WASHER</x:v>
      </x:c>
      <x:c r="C91" s="29" t="str">
        <x:v>Historical source fields; active prices are on Purchase.</x:v>
      </x:c>
    </x:row>
    <x:row r="92" ht="82" customHeight="1">
      <x:c r="A92" s="29" t="str">
        <x:v>E01</x:v>
      </x:c>
      <x:c r="B92" s="29" t="str">
        <x:v>price_source: TOOLS
source: Planning allowance, NOT supplier quote
low: 80
high: 80
source_en: ASM; ELEC</x:v>
      </x:c>
      <x:c r="C92" s="29" t="str">
        <x:v>Historical source fields; active prices are on Purchase.</x:v>
      </x:c>
    </x:row>
    <x:row r="93" ht="82" customHeight="1">
      <x:c r="A93" s="29" t="str">
        <x:v>S01</x:v>
      </x:c>
      <x:c r="B93" s="29" t="str">
        <x:v>price_source: SEAL
source: Planning allowance, NOT supplier quote
low: 150
high: 150
source_en: CAD; ASM; GASKET</x:v>
      </x:c>
      <x:c r="C93" s="29" t="str">
        <x:v>Historical source fields; active prices are on Purchase.</x:v>
      </x:c>
    </x:row>
    <x:row r="94" ht="82" customHeight="1">
      <x:c r="A94" s="29" t="str">
        <x:v>E02</x:v>
      </x:c>
      <x:c r="B94" s="29" t="str">
        <x:v>price_source: POWER
source: Quotation pending; no invented price
low: 277.9757
high: 277.9757
source_en: ELEC; ASM</x:v>
      </x:c>
      <x:c r="C94" s="29" t="str">
        <x:v>Historical source fields; active prices are on Purchase.</x:v>
      </x:c>
    </x:row>
    <x:row r="95" ht="82" customHeight="1">
      <x:c r="A95" s="29" t="str">
        <x:v>G01</x:v>
      </x:c>
      <x:c r="B95" s="29" t="str">
        <x:v>price_source: GASFILTER
source: Quotation pending; no invented price
low: 30.21475
high: 30.21475
source_en: ASM; FLOW</x:v>
      </x:c>
      <x:c r="C95" s="29" t="str">
        <x:v>Historical source fields; active prices are on Purchase.</x:v>
      </x:c>
    </x:row>
    <x:row r="96" ht="82" customHeight="1">
      <x:c r="A96" s="29" t="str">
        <x:v>G02</x:v>
      </x:c>
      <x:c r="B96" s="29" t="str">
        <x:v>price_source: PTFE
source: Planning allowance, NOT supplier quote
low: 200
high: 200
source_en: CAD; ASM; FLOW</x:v>
      </x:c>
      <x:c r="C96" s="29" t="str">
        <x:v>Historical source fields; active prices are on Purchase.</x:v>
      </x:c>
    </x:row>
    <x:row r="97" ht="82" customHeight="1">
      <x:c r="A97" s="29" t="str">
        <x:v>G03</x:v>
      </x:c>
      <x:c r="B97" s="29" t="str">
        <x:v>price_source: COUPLER
source: Quotation pending; no invented price
low: 150
high: 150
source_en: CAD; ASM</x:v>
      </x:c>
      <x:c r="C97" s="29" t="str">
        <x:v>Historical source fields; active prices are on Purchase.</x:v>
      </x:c>
    </x:row>
    <x:row r="98" ht="82" customHeight="1">
      <x:c r="A98" s="29" t="str">
        <x:v>O01</x:v>
      </x:c>
      <x:c r="B98" s="29" t="str">
        <x:v>price_source: OPTIC
source: Quotation pending; no invented price
low: 12000
high: 12000
source_en: CAD; ASM; OPTICS</x:v>
      </x:c>
      <x:c r="C98" s="29" t="str">
        <x:v>Historical source fields; active prices are on Purchase.</x:v>
      </x:c>
    </x:row>
    <x:row r="99" ht="82" customHeight="1">
      <x:c r="A99" s="29" t="str">
        <x:v>P01</x:v>
      </x:c>
      <x:c r="B99" s="29" t="str">
        <x:v>price_source: UART
source: Quotation pending; no invented price
low: 189.23975000000002
high: 189.23975000000002
source_en: OPERATION; ELEC</x:v>
      </x:c>
      <x:c r="C99" s="29" t="str">
        <x:v>Historical source fields; active prices are on Purchase.</x:v>
      </x:c>
    </x:row>
    <x:row r="100" ht="82" customHeight="1">
      <x:c r="A100" s="29" t="str">
        <x:v>L01</x:v>
      </x:c>
      <x:c r="B100" s="29" t="str">
        <x:v>price_source: PUMP
source: Quotation pending; no invented price
low: 5000
high: 5000
source_en: ASM; FLOW</x:v>
      </x:c>
      <x:c r="C100" s="29" t="str">
        <x:v>Historical source fields; active prices are on Purchase.</x:v>
      </x:c>
    </x:row>
    <x:row r="101" ht="82" customHeight="1">
      <x:c r="A101" s="29" t="str">
        <x:v>L02</x:v>
      </x:c>
      <x:c r="B101" s="29" t="str">
        <x:v>price_source: TOOLS
source: Quotation pending; no invented price
low: 1500
high: 1500
source_en: ASM; SCREW</x:v>
      </x:c>
      <x:c r="C101" s="29" t="str">
        <x:v>Historical source fields; active prices are on Purchase.</x:v>
      </x:c>
    </x:row>
    <x:row r="102" ht="82" customHeight="1">
      <x:c r="A102" s="29" t="str">
        <x:v>L03</x:v>
      </x:c>
      <x:c r="B102" s="29" t="str">
        <x:v>price_source: DYE
source: Quotation pending; no invented price
low: 1672.943
high: 1672.943
source_en: VALIDATION; OPERATION</x:v>
      </x:c>
      <x:c r="C102" s="29" t="str">
        <x:v>Historical source fields; active prices are on Purchase.</x:v>
      </x:c>
    </x:row>
    <x:row r="103" ht="40" customHeight="1">
      <x:c r="A103" s="29" t="str">
        <x:v>P02</x:v>
      </x:c>
      <x:c r="B103" s="29" t="str">
        <x:v>low: 150
high: 150</x:v>
      </x:c>
      <x:c r="C103" s="29" t="str">
        <x:v>Historical source fields; active prices are on Purchase.</x:v>
      </x:c>
    </x:row>
    <x:row r="104" ht="40" customHeight="1">
      <x:c r="A104" s="29" t="str">
        <x:v>L04</x:v>
      </x:c>
      <x:c r="B104" s="29" t="str">
        <x:v>low: 15000
high: 15000</x:v>
      </x:c>
      <x:c r="C104" s="29" t="str">
        <x:v>Historical source fields; active prices are on Purchase.</x:v>
      </x:c>
    </x:row>
    <x:row r="105" ht="40" customHeight="1">
      <x:c r="A105" s="29" t="str">
        <x:v>L05</x:v>
      </x:c>
      <x:c r="B105" s="29" t="str">
        <x:v>low: 800
high: 800</x:v>
      </x:c>
      <x:c r="C105" s="29" t="str">
        <x:v>Historical source fields; active prices are on Purchase.</x:v>
      </x:c>
    </x:row>
    <x:row r="106" ht="40" customHeight="1">
      <x:c r="A106" s="29" t="str">
        <x:v>L06</x:v>
      </x:c>
      <x:c r="B106" s="29" t="str">
        <x:v>low: 10000
high: 10000</x:v>
      </x:c>
      <x:c r="C106" s="29" t="str">
        <x:v>Historical source fields; active prices are on Purchase.</x:v>
      </x:c>
    </x:row>
    <x:row r="107" ht="40" customHeight="1">
      <x:c r="A107" s="29" t="str">
        <x:v>L07</x:v>
      </x:c>
      <x:c r="B107" s="29" t="str">
        <x:v>low: 4000
high: 4000</x:v>
      </x:c>
      <x:c r="C107" s="29" t="str">
        <x:v>Historical source fields; active prices are on Purchase.</x:v>
      </x:c>
    </x:row>
    <x:row r="108" ht="40" customHeight="1">
      <x:c r="A108" s="29" t="str">
        <x:v>L08</x:v>
      </x:c>
      <x:c r="B108" s="29" t="str">
        <x:v>low: 300
high: 300</x:v>
      </x:c>
      <x:c r="C108" s="29" t="str">
        <x:v>Historical source fields; active prices are on Purchase.</x:v>
      </x:c>
    </x:row>
    <x:row r="109" ht="40" customHeight="1">
      <x:c r="A109" s="29" t="str">
        <x:v>FUT01</x:v>
      </x:c>
      <x:c r="B109" s="29" t="str">
        <x:v>low: 6000
high: 6000</x:v>
      </x:c>
      <x:c r="C109" s="29" t="str">
        <x:v>Historical source fields; active prices are on Purchase.</x:v>
      </x:c>
    </x:row>
    <x:row r="110" ht="40" customHeight="1">
      <x:c r="A110" s="29" t="str">
        <x:v>FUT02</x:v>
      </x:c>
      <x:c r="B110" s="29" t="str">
        <x:v>low: 500
high: 500</x:v>
      </x:c>
      <x:c r="C110" s="29" t="str">
        <x:v>Historical source fields; active prices are on Purchase.</x:v>
      </x:c>
    </x:row>
    <x:row r="111" ht="40" customHeight="1">
      <x:c r="A111" s="29" t="str">
        <x:v>FUT03</x:v>
      </x:c>
      <x:c r="B111" s="29" t="str">
        <x:v>low: 1000
high: 1000</x:v>
      </x:c>
      <x:c r="C111" s="29" t="str">
        <x:v>Historical source fields; active prices are on Purchase.</x:v>
      </x:c>
    </x:row>
    <x:row r="112" ht="30" customHeight="1">
      <x:c r="A112" s="36" t="str">
        <x:v>Additional PCB provenance</x:v>
      </x:c>
      <x:c r="B112" s="36" t="str"/>
      <x:c r="C112" s="36" t="str"/>
    </x:row>
    <x:row r="113" ht="222" customHeight="1">
      <x:c r="A113" s="29" t="str">
        <x:v>1: C1</x:v>
      </x:c>
      <x:c r="B113" s="29" t="str">
        <x:v>status: Incomplete specification / orderable MPN
unit_price: 2
source: NTHU_TEST_BOARD_BOM.docx vendor table row 1
source_ids: ["vendor_BOM","schematic"]
per_reference: [{"reference":"C1","purpose_en":"Decoupling/buffering between the U2 OUT system-supply node and ground.","location_en":"Schematic page 1: charger / power path","page":1}]
orderability: incomplete_passive_specification
details: {"spec_en":"No capacitance is given in the vendor BOM or schematic.","purpose_en":"C1: Decoupling/buffering between the U2 OUT system-supply node and ground.","missing_en":"Manufacturer/orderable MPN, case dimensions/height, voltage rating, tolerance and dielectric/type are not supplied; power capacitors also require effective-capacitance, ESR and stability checks."}
original_source: NTHU_TEST_BOARD_BOM.docx vendor table row 1</x:v>
      </x:c>
      <x:c r="C113" s="29" t="str">
        <x:v>Original vendor/source fields; active estimate and missing specifications remain on PCB.</x:v>
      </x:c>
    </x:row>
    <x:row r="114" ht="222" customHeight="1">
      <x:c r="A114" s="29" t="str">
        <x:v>2: C2</x:v>
      </x:c>
      <x:c r="B114" s="29" t="str">
        <x:v>status: Incomplete specification / orderable MPN
unit_price: 2
source: NTHU_TEST_BOARD_BOM.docx vendor table row 2
source_ids: ["vendor_BOM","schematic"]
per_reference: [{"reference":"C2","purpose_en":"Input decoupling from the U1 boost-input node to ground.","location_en":"Schematic page 1: boost supply","page":1}]
orderability: incomplete_passive_specification
details: {"spec_en":"No capacitance is given in the vendor BOM or schematic.","purpose_en":"C2: Input decoupling from the U1 boost-input node to ground.","missing_en":"Manufacturer/orderable MPN, case dimensions/height, voltage rating, tolerance and dielectric/type are not supplied; power capacitors also require effective-capacitance, ESR and stability checks."}
original_source: NTHU_TEST_BOARD_BOM.docx vendor table row 2</x:v>
      </x:c>
      <x:c r="C114" s="29" t="str">
        <x:v>Original vendor/source fields; active estimate and missing specifications remain on PCB.</x:v>
      </x:c>
    </x:row>
    <x:row r="115" ht="250" customHeight="1">
      <x:c r="A115" s="29" t="str">
        <x:v>3: C3</x:v>
      </x:c>
      <x:c r="B115" s="29" t="str">
        <x:v>status: Incomplete specification / orderable MPN
unit_price: 2
source: NTHU_TEST_BOARD_BOM.docx vendor table row 3
source_ids: ["vendor_BOM","schematic"]
per_reference: [{"reference":"C3","purpose_en":"Output filtering on the net labelled 5V; the actual setting still depends on unspecified R6/R8.","location_en":"Schematic page 1: boost supply","page":1}]
orderability: incomplete_passive_specification
details: {"spec_en":"No capacitance is given in the vendor BOM or schematic.","purpose_en":"C3: Output filtering on the net labelled 5V; the actual setting still depends on unspecified R6/R8.","missing_en":"Manufacturer/orderable MPN, case dimensions/height, voltage rating, tolerance and dielectric/type are not supplied; power capacitors also require effective-capacitance, ESR and stability checks."}
original_source: NTHU_TEST_BOARD_BOM.docx vendor table row 3</x:v>
      </x:c>
      <x:c r="C115" s="29" t="str">
        <x:v>Original vendor/source fields; active estimate and missing specifications remain on PCB.</x:v>
      </x:c>
    </x:row>
    <x:row r="116" ht="250" customHeight="1">
      <x:c r="A116" s="29" t="str">
        <x:v>4: C4</x:v>
      </x:c>
      <x:c r="B116" s="29" t="str">
        <x:v>status: Incomplete specification / orderable MPN
unit_price: 2
source: NTHU_TEST_BOARD_BOM.docx vendor table row 4
source_ids: ["vendor_BOM","schematic"]
per_reference: [{"reference":"C4","purpose_en":"Output filtering on the net labelled 5V; the actual setting still depends on unspecified R6/R8.","location_en":"Schematic page 1: boost supply","page":1}]
orderability: incomplete_passive_specification
details: {"spec_en":"No capacitance is given in the vendor BOM or schematic.","purpose_en":"C4: Output filtering on the net labelled 5V; the actual setting still depends on unspecified R6/R8.","missing_en":"Manufacturer/orderable MPN, case dimensions/height, voltage rating, tolerance and dielectric/type are not supplied; power capacitors also require effective-capacitance, ESR and stability checks."}
original_source: NTHU_TEST_BOARD_BOM.docx vendor table row 4</x:v>
      </x:c>
      <x:c r="C116" s="29" t="str">
        <x:v>Original vendor/source fields; active estimate and missing specifications remain on PCB.</x:v>
      </x:c>
    </x:row>
    <x:row r="117" ht="250" customHeight="1">
      <x:c r="A117" s="29" t="str">
        <x:v>5: C5</x:v>
      </x:c>
      <x:c r="B117" s="29" t="str">
        <x:v>status: Incomplete specification / orderable MPN
unit_price: 2
source: NTHU_TEST_BOARD_BOM.docx vendor table row 5
source_ids: ["vendor_BOM","schematic"]
per_reference: [{"reference":"C5","purpose_en":"Output filtering on the net labelled 5V; the actual setting still depends on unspecified R6/R8.","location_en":"Schematic page 1: boost supply","page":1}]
orderability: incomplete_passive_specification
details: {"spec_en":"No capacitance is given in the vendor BOM or schematic.","purpose_en":"C5: Output filtering on the net labelled 5V; the actual setting still depends on unspecified R6/R8.","missing_en":"Manufacturer/orderable MPN, case dimensions/height, voltage rating, tolerance and dielectric/type are not supplied; power capacitors also require effective-capacitance, ESR and stability checks."}
original_source: NTHU_TEST_BOARD_BOM.docx vendor table row 5</x:v>
      </x:c>
      <x:c r="C117" s="29" t="str">
        <x:v>Original vendor/source fields; active estimate and missing specifications remain on PCB.</x:v>
      </x:c>
    </x:row>
    <x:row r="118" ht="222" customHeight="1">
      <x:c r="A118" s="29" t="str">
        <x:v>6: C6</x:v>
      </x:c>
      <x:c r="B118" s="29" t="str">
        <x:v>status: Incomplete specification / orderable MPN
unit_price: 2
source: NTHU_TEST_BOARD_BOM.docx vendor table row 6
source_ids: ["vendor_BOM","schematic"]
per_reference: [{"reference":"C6","purpose_en":"Input decoupling from USB 5V_USB to ground.","location_en":"Schematic page 1: USB / charger input","page":1}]
orderability: incomplete_passive_specification
details: {"spec_en":"No capacitance is given in the vendor BOM or schematic.","purpose_en":"C6: Input decoupling from USB 5V_USB to ground.","missing_en":"Manufacturer/orderable MPN, case dimensions/height, voltage rating, tolerance and dielectric/type are not supplied; power capacitors also require effective-capacitance, ESR and stability checks."}
original_source: NTHU_TEST_BOARD_BOM.docx vendor table row 6</x:v>
      </x:c>
      <x:c r="C118" s="29" t="str">
        <x:v>Original vendor/source fields; active estimate and missing specifications remain on PCB.</x:v>
      </x:c>
    </x:row>
    <x:row r="119" ht="236" customHeight="1">
      <x:c r="A119" s="29" t="str">
        <x:v>7: C7</x:v>
      </x:c>
      <x:c r="B119" s="29" t="str">
        <x:v>status: Incomplete specification / orderable MPN
unit_price: 2
source: NTHU_TEST_BOARD_BOM.docx vendor table row 7
source_ids: ["vendor_BOM","schematic"]
per_reference: [{"reference":"C7","purpose_en":"Decoupling from the U3 P1 supply node to ground; U3 is unidentified.","location_en":"Schematic page 1: U3 power-control circuitry","page":1}]
orderability: incomplete_passive_specification
details: {"spec_en":"No capacitance is given in the vendor BOM or schematic.","purpose_en":"C7: Decoupling from the U3 P1 supply node to ground; U3 is unidentified.","missing_en":"Manufacturer/orderable MPN, case dimensions/height, voltage rating, tolerance and dielectric/type are not supplied; power capacitors also require effective-capacitance, ESR and stability checks."}
original_source: NTHU_TEST_BOARD_BOM.docx vendor table row 7</x:v>
      </x:c>
      <x:c r="C119" s="29" t="str">
        <x:v>Original vendor/source fields; active estimate and missing specifications remain on PCB.</x:v>
      </x:c>
    </x:row>
    <x:row r="120" ht="222" customHeight="1">
      <x:c r="A120" s="29" t="str">
        <x:v>8: C8</x:v>
      </x:c>
      <x:c r="B120" s="29" t="str">
        <x:v>status: Incomplete specification / orderable MPN
unit_price: 2
source: NTHU_TEST_BOARD_BOM.docx vendor table row 8
source_ids: ["vendor_BOM","schematic"]
per_reference: [{"reference":"C8","purpose_en":"Capacitor from the U2 BAT / J1 battery-positive node to ground.","location_en":"Schematic page 1: battery / charger","page":1}]
orderability: incomplete_passive_specification
details: {"spec_en":"No capacitance is given in the vendor BOM or schematic.","purpose_en":"C8: Capacitor from the U2 BAT / J1 battery-positive node to ground.","missing_en":"Manufacturer/orderable MPN, case dimensions/height, voltage rating, tolerance and dielectric/type are not supplied; power capacitors also require effective-capacitance, ESR and stability checks."}
original_source: NTHU_TEST_BOARD_BOM.docx vendor table row 8</x:v>
      </x:c>
      <x:c r="C120" s="29" t="str">
        <x:v>Original vendor/source fields; active estimate and missing specifications remain on PCB.</x:v>
      </x:c>
    </x:row>
    <x:row r="121" ht="250" customHeight="1">
      <x:c r="A121" s="29" t="str">
        <x:v>9: C9</x:v>
      </x:c>
      <x:c r="B121" s="29" t="str">
        <x:v>status: Incomplete specification / orderable MPN
unit_price: 2
source: NTHU_TEST_BOARD_BOM.docx vendor table row 9
source_ids: ["vendor_BOM","schematic"]
per_reference: [{"reference":"C9","purpose_en":"Filtering from the R10/R12 divider midpoint / U3 P2 to ground; control function requires the U3 identity.","location_en":"Schematic page 1: U3 power-control circuitry","page":1}]
orderability: incomplete_passive_specification
details: {"spec_en":"No capacitance is given in the vendor BOM or schematic.","purpose_en":"C9: Filtering from the R10/R12 divider midpoint / U3 P2 to ground; control function requires the U3 identity.","missing_en":"Manufacturer/orderable MPN, case dimensions/height, voltage rating, tolerance and dielectric/type are not supplied; power capacitors also require effective-capacitance, ESR and stability checks."}
original_source: NTHU_TEST_BOARD_BOM.docx vendor table row 9</x:v>
      </x:c>
      <x:c r="C121" s="29" t="str">
        <x:v>Original vendor/source fields; active estimate and missing specifications remain on PCB.</x:v>
      </x:c>
    </x:row>
    <x:row r="122" ht="250" customHeight="1">
      <x:c r="A122" s="29" t="str">
        <x:v>10: C10</x:v>
      </x:c>
      <x:c r="B122" s="29" t="str">
        <x:v>status: Incomplete specification / orderable MPN
unit_price: 2
source: NTHU_TEST_BOARD_BOM.docx vendor table row 10
source_ids: ["vendor_BOM","schematic"]
per_reference: [{"reference":"C10","purpose_en":"Connected from U3 P6 to ground; timing/compensation or other function cannot be assigned without its identity.","location_en":"Schematic page 1: U3 power-control circuitry","page":1}]
orderability: incomplete_passive_specification
details: {"spec_en":"No capacitance is given in the vendor BOM or schematic.","purpose_en":"C10: Connected from U3 P6 to ground; timing/compensation or other function cannot be assigned without its identity.","missing_en":"Manufacturer/orderable MPN, case dimensions/height, voltage rating, tolerance and dielectric/type are not supplied; power capacitors also require effective-capacitance, ESR and stability checks."}
original_source: NTHU_TEST_BOARD_BOM.docx vendor table row 10</x:v>
      </x:c>
      <x:c r="C122" s="29" t="str">
        <x:v>Original vendor/source fields; active estimate and missing specifications remain on PCB.</x:v>
      </x:c>
    </x:row>
    <x:row r="123" ht="250" customHeight="1">
      <x:c r="A123" s="29" t="str">
        <x:v>11: C11</x:v>
      </x:c>
      <x:c r="B123" s="29" t="str">
        <x:v>status: Incomplete specification / orderable MPN
unit_price: 2
source: NTHU_TEST_BOARD_BOM.docx vendor table row 11
source_ids: ["vendor_BOM","schematic"]
per_reference: [{"reference":"C11","purpose_en":"Connected from U3 P4 to ground; timing/compensation or other function cannot be assigned without its identity.","location_en":"Schematic page 1: U3 power-control circuitry","page":1}]
orderability: incomplete_passive_specification
details: {"spec_en":"No capacitance is given in the vendor BOM or schematic.","purpose_en":"C11: Connected from U3 P4 to ground; timing/compensation or other function cannot be assigned without its identity.","missing_en":"Manufacturer/orderable MPN, case dimensions/height, voltage rating, tolerance and dielectric/type are not supplied; power capacitors also require effective-capacitance, ESR and stability checks."}
original_source: NTHU_TEST_BOARD_BOM.docx vendor table row 11</x:v>
      </x:c>
      <x:c r="C123" s="29" t="str">
        <x:v>Original vendor/source fields; active estimate and missing specifications remain on PCB.</x:v>
      </x:c>
    </x:row>
    <x:row r="124" ht="222" customHeight="1">
      <x:c r="A124" s="29" t="str">
        <x:v>12: C12</x:v>
      </x:c>
      <x:c r="B124" s="29" t="str">
        <x:v>status: Vendor BOM; package and tolerance still require confirmation
unit_price: 15
source: NTHU_TEST_BOARD_BOM.docx vendor table row 12
source_ids: ["vendor_BOM","schematic"]
per_reference: [{"reference":"C12","purpose_en":"Local bulk capacitor between LED 5V and ground; the schematic uses a polarized symbol.","location_en":"Schematic page 2: LEDs","page":2}]
orderability: incomplete_passive_specification
details: {"spec_en":"Vendor nominal capacitance: 47uF.","purpose_en":"C12: Local bulk capacitor between LED 5V and ground; the schematic uses a polarized symbol.","missing_en":"Manufacturer/orderable MPN, case dimensions/height, voltage rating, tolerance and dielectric/type are not supplied; power capacitors also require effective-capacitance, ESR and stability checks."}
original_source: NTHU_TEST_BOARD_BOM.docx vendor table row 12</x:v>
      </x:c>
      <x:c r="C124" s="29" t="str">
        <x:v>Original vendor/source fields; active estimate and missing specifications remain on PCB.</x:v>
      </x:c>
    </x:row>
    <x:row r="125" ht="236" customHeight="1">
      <x:c r="A125" s="29" t="str">
        <x:v>13: C13,C18</x:v>
      </x:c>
      <x:c r="B125" s="29" t="str">
        <x:v>status: Vendor BOM; package and tolerance still require confirmation
unit_price: 8
source: NTHU_TEST_BOARD_BOM.docx vendor table row 13
source_ids: ["vendor_BOM","schematic"]
per_reference: [{"reference":"C13","purpose_en":"ESP32 3V3_DIG supply decoupling.","location_en":"Schematic page 2: ESP32","page":2},{"reference":"C18","purpose_en":"U5 3V3_DIG output capacitor.","location_en":"Schematic page 2: 3V3 LDO","page":2}]
orderability: incomplete_passive_specification
details: {"spec_en":"Vendor nominal capacitance: 22uF.","purpose_en":"C13: ESP32 3V3_DIG supply decoupling.；C18: U5 3V3_DIG output capacitor.","missing_en":"Manufacturer/orderable MPN, case dimensions/height, voltage rating, tolerance and dielectric/type are not supplied; power capacitors also require effective-capacitance, ESR and stability checks."}
original_source: NTHU_TEST_BOARD_BOM.docx vendor table row 13</x:v>
      </x:c>
      <x:c r="C125" s="29" t="str">
        <x:v>Original vendor/source fields; active estimate and missing specifications remain on PCB.</x:v>
      </x:c>
    </x:row>
    <x:row r="126" ht="194" customHeight="1">
      <x:c r="A126" s="29" t="str">
        <x:v>14: C14,C15,C22,C25</x:v>
      </x:c>
      <x:c r="B126" s="29" t="str">
        <x:v>status: Vendor BOM; package and tolerance still require confirmation
unit_price: 2
source: NTHU_TEST_BOARD_BOM.docx vendor table row 14
source_ids: ["vendor_BOM","schematic"]
per_reference: [{"reference":"C14","purpose_en":"ESP32 3V3_DIG supply decoupling.","location_en":"Schematic page 2: ESP32","page":2},{"reference":"C15","purpose_en":"ESP_EN-to-ground capacitor across SW2 in the reset/enable network.","location_en":"Schematic page 2: ESP32 reset","page":2},{"reference":"C22","purpose_en":"U7 3V3_ANA input decoupling.","location_en":"Schematic page 2: 2V5_REF","page":2},{"reference":"C25","purpose_en":"Capacitors from the U8 local supply after R31 to ground, forming supply filtering with R31. C26 has a polarized</x:v>
      </x:c>
      <x:c r="C126" s="29" t="str">
        <x:v>Original vendor/source fields; active estimate and missing specifications remain on PCB.</x:v>
      </x:c>
    </x:row>
    <x:row r="127" ht="208" customHeight="1">
      <x:c r="A127" s="29" t="str">
        <x:v>14: C14,C15,C22,C25 (continued)</x:v>
      </x:c>
      <x:c r="B127" s="29" t="str">
        <x:v> symbol.","location_en":"Schematic page 2: TIA supply","page":2}]
orderability: incomplete_passive_specification
details: {"spec_en":"Vendor nominal capacitance: 0.1uF.","purpose_en":"C14: ESP32 3V3_DIG supply decoupling.；C15: ESP_EN-to-ground capacitor across SW2 in the reset/enable network.；C22: U7 3V3_ANA input decoupling.；C25: Capacitors from the U8 local supply after R31 to ground, forming supply filtering with R31. C26 has a polarized symbol.","missing_en":"Manufacturer/orderable MPN, case dimensions/height, voltage rating, tolerance and dielectric/type are not supplied; power capacitors also require effective-capacitance, ESR and stability checks."}
original_source: NTHU_TEST_BOARD_BOM.docx vendor table row 14</x:v>
      </x:c>
      <x:c r="C127" s="29" t="str"/>
    </x:row>
    <x:row r="128" ht="194" customHeight="1">
      <x:c r="A128" s="29" t="str">
        <x:v>15: C16,C17,C23,C28</x:v>
      </x:c>
      <x:c r="B128" s="29" t="str">
        <x:v>status: Vendor BOM; package and tolerance still require confirmation
unit_price: 8
source: NTHU_TEST_BOARD_BOM.docx vendor table row 15
source_ids: ["vendor_BOM","schematic"]
per_reference: [{"reference":"C16","purpose_en":"ESP_EN-to-ground capacitor forming the enable/reset RC network with R15.","location_en":"Schematic page 2: ESP32 reset","page":2},{"reference":"C17","purpose_en":"U5 5V input decoupling.","location_en":"Schematic page 2: 3V3 LDO","page":2},{"reference":"C23","purpose_en":"U7 VREF_2V5 output capacitor.","location_en":"Schematic page 2: 2V5_REF","page":2},{"reference":"C28","purpose_en":"In series with R34 in a VREF_2V5-to-ground reference-bypass</x:v>
      </x:c>
      <x:c r="C128" s="29" t="str">
        <x:v>Original vendor/source fields; active estimate and missing specifications remain on PCB.</x:v>
      </x:c>
    </x:row>
    <x:row r="129" ht="194" customHeight="1">
      <x:c r="A129" s="29" t="str">
        <x:v>15: C16,C17,C23,C28 (continued)</x:v>
      </x:c>
      <x:c r="B129" s="29" t="str">
        <x:v> branch.","location_en":"Schematic page 2: ADC reference","page":2}]
orderability: incomplete_passive_specification
details: {"spec_en":"Vendor nominal capacitance: 10uF.","purpose_en":"C16: ESP_EN-to-ground capacitor forming the enable/reset RC network with R15.；C17: U5 5V input decoupling.；C23: U7 VREF_2V5 output capacitor.；C28: In series with R34 in a VREF_2V5-to-ground reference-bypass branch.","missing_en":"Manufacturer/orderable MPN, case dimensions/height, voltage rating, tolerance and dielectric/type are not supplied; power capacitors also require effective-capacitance, ESR and stability checks."}
original_source: NTHU_TEST_BOARD_BOM.docx vendor table row 15</x:v>
      </x:c>
      <x:c r="C129" s="29" t="str"/>
    </x:row>
    <x:row r="130" ht="166" customHeight="1">
      <x:c r="A130" s="29" t="str">
        <x:v>16: C19,C20,C27,C29</x:v>
      </x:c>
      <x:c r="B130" s="29" t="str">
        <x:v>status: Vendor BOM; package and tolerance still require confirmation
unit_price: 2
source: NTHU_TEST_BOARD_BOM.docx vendor table row 16
source_ids: ["vendor_BOM","schematic"]
per_reference: [{"reference":"C19","purpose_en":"U6 5V input decoupling.","location_en":"Schematic page 2: 3V3 LDO","page":2},{"reference":"C20","purpose_en":"U6 3V3_ANA output capacitor.","location_en":"Schematic page 2: 3V3 LDO","page":2},{"reference":"C27","purpose_en":"U9 DVDD / 3V3_DIG decoupling.","location_en":"Schematic page 2: ADC","page":2},{"reference":"C29","purpose_en":"U9 AVDD / 3V3_ANA</x:v>
      </x:c>
      <x:c r="C130" s="29" t="str">
        <x:v>Original vendor/source fields; active estimate and missing specifications remain on PCB.</x:v>
      </x:c>
    </x:row>
    <x:row r="131" ht="152" customHeight="1">
      <x:c r="A131" s="29" t="str">
        <x:v>16: C19,C20,C27,C29 (continued)</x:v>
      </x:c>
      <x:c r="B131" s="29" t="str">
        <x:v> decoupling.","location_en":"Schematic page 2: ADC","page":2}]
orderability: incomplete_passive_specification
details: {"spec_en":"Vendor nominal capacitance: 1uF.","purpose_en":"C19: U6 5V input decoupling.；C20: U6 3V3_ANA output capacitor.；C27: U9 DVDD / 3V3_DIG decoupling.；C29: U9 AVDD / 3V3_ANA decoupling.","missing_en":"Manufacturer/orderable MPN, case dimensions/height, voltage rating, tolerance and dielectric/type are not supplied; power capacitors also require effective-capacitance, ESR and stability checks."}
original_source: NTHU_TEST_BOARD_BOM.docx vendor table row 16</x:v>
      </x:c>
      <x:c r="C131" s="29" t="str"/>
    </x:row>
    <x:row r="132" ht="278" customHeight="1">
      <x:c r="A132" s="29" t="str">
        <x:v>17: C21</x:v>
      </x:c>
      <x:c r="B132" s="29" t="str">
        <x:v>status: Vendor BOM; package and tolerance still require confirmation
unit_price: 2
source: NTHU_TEST_BOARD_BOM.docx vendor table row 17
source_ids: ["vendor_BOM","schematic"]
per_reference: [{"reference":"C21","purpose_en":"In parallel with R27 from U8 output to its inverting input; affects transimpedance compensation and bandwidth.","location_en":"Schematic page 2: TIA","page":2}]
orderability: incomplete_passive_specification
details: {"spec_en":"Vendor nominal capacitance: 2.2pF.","purpose_en":"C21: In parallel with R27 from U8 output to its inverting input; affects transimpedance compensation and bandwidth.","missing_en":"Manufacturer/orderable MPN, case dimensions/height, voltage rating, tolerance and dielectric/type are not supplied; power capacitors also require effective-capacitance, ESR and stability checks. At 2.2 pF, pad/trace parasitics matter; the vendor must select suitable low-leakage construction/dielectric."}
original_source: NTHU_TEST_BOARD_BOM.docx vendor table row 17</x:v>
      </x:c>
      <x:c r="C132" s="29" t="str">
        <x:v>Original vendor/source fields; active estimate and missing specifications remain on PCB.</x:v>
      </x:c>
    </x:row>
    <x:row r="133" ht="236" customHeight="1">
      <x:c r="A133" s="29" t="str">
        <x:v>18: C24</x:v>
      </x:c>
      <x:c r="B133" s="29" t="str">
        <x:v>status: Vendor BOM; package and tolerance still require confirmation
unit_price: 2
source: NTHU_TEST_BOARD_BOM.docx vendor table row 18
source_ids: ["vendor_BOM","schematic"]
per_reference: [{"reference":"C24","purpose_en":"Across ADC_AINP and ADC_AINN, part of the ADC-input filtering network with R29/R36.","location_en":"Schematic page 2: TIA / ADC","page":2}]
orderability: incomplete_passive_specification
details: {"spec_en":"Vendor nominal capacitance: 1000pF.","purpose_en":"C24: Across ADC_AINP and ADC_AINN, part of the ADC-input filtering network with R29/R36.","missing_en":"Manufacturer/orderable MPN, case dimensions/height, voltage rating, tolerance and dielectric/type are not supplied; power capacitors also require effective-capacitance, ESR and stability checks."}
original_source: NTHU_TEST_BOARD_BOM.docx vendor table row 18</x:v>
      </x:c>
      <x:c r="C133" s="29" t="str">
        <x:v>Original vendor/source fields; active estimate and missing specifications remain on PCB.</x:v>
      </x:c>
    </x:row>
    <x:row r="134" ht="250" customHeight="1">
      <x:c r="A134" s="29" t="str">
        <x:v>19: C26</x:v>
      </x:c>
      <x:c r="B134" s="29" t="str">
        <x:v>status: Vendor BOM; package and tolerance still require confirmation
unit_price: 15
source: NTHU_TEST_BOARD_BOM.docx vendor table row 19
source_ids: ["vendor_BOM","schematic"]
per_reference: [{"reference":"C26","purpose_en":"Capacitors from the U8 local supply after R31 to ground, forming supply filtering with R31. C26 has a polarized symbol.","location_en":"Schematic page 2: TIA supply","page":2}]
orderability: incomplete_passive_specification
details: {"spec_en":"Vendor nominal capacitance: 100uF.","purpose_en":"C26: Capacitors from the U8 local supply after R31 to ground, forming supply filtering with R31. C26 has a polarized symbol.","missing_en":"Manufacturer/orderable MPN, case dimensions/height, voltage rating, tolerance and dielectric/type are not supplied; power capacitors also require effective-capacitance, ESR and stability checks."}
original_source: NTHU_TEST_BOARD_BOM.docx vendor table row 19</x:v>
      </x:c>
      <x:c r="C134" s="29" t="str">
        <x:v>Original vendor/source fields; active estimate and missing specifications remain on PCB.</x:v>
      </x:c>
    </x:row>
    <x:row r="135" ht="180" customHeight="1">
      <x:c r="A135" s="29" t="str">
        <x:v>20: DPS1,DPS2</x:v>
      </x:c>
      <x:c r="B135" s="29" t="str">
        <x:v>status: Incomplete specification / orderable MPN
unit_price: 2
source: NTHU_TEST_BOARD_BOM.docx vendor table row 20
source_ids: ["vendor_BOM","schematic"]
per_reference: []
orderability: incomplete_component_specification
details: {"spec_en":"Only identified as LED; two devices.","purpose_en":"DPS1 is connected to U2 PGOOD via R5; DPS2 to U2 CHG via R7 for power/charging status.","missing_en":"Color, manufacturer/MPN, package size/height, forward voltage/current and brightness are not supplied."}
original_source: NTHU_TEST_BOARD_BOM.docx vendor table row 20</x:v>
      </x:c>
      <x:c r="C135" s="29" t="str">
        <x:v>Original vendor/source fields; active estimate and missing specifications remain on PCB.</x:v>
      </x:c>
    </x:row>
    <x:row r="136" ht="236" customHeight="1">
      <x:c r="A136" s="29" t="str">
        <x:v>21: D1,D2,D3,D4</x:v>
      </x:c>
      <x:c r="B136" s="29" t="str">
        <x:v>status: Vendor BOM; package and tolerance still require confirmation
unit_price: 17
source: NTHU_TEST_BOARD_BOM.docx vendor table row 21
source_ids: ["vendor_BOM","schematic","WURTH_LED"]
per_reference: []
orderability: identified_part_pending_assembly_verification
details: {"spec_en":"Würth Elektronik 155124BS73200; 1204 side-view SMD; datasheet at 20 mA gives typical peak 468 nm / dominant wavelength 470 nm and 120° viewing angle.","purpose_en":"D1–D4 are modulated by low-side switches Q1–Q4 with individual 100 Ω series resistors. GPIO25/26/27/32 map to LED1/2/3/4.","missing_en":"Verify assembled orientation/height, optical-axis alignment to wells, operating current and optical power; 20 mA is a datasheet test condition, not a verified board current."}
original_source: NTHU_TEST_BOARD_BOM.docx vendor table row 21</x:v>
      </x:c>
      <x:c r="C136" s="29" t="str">
        <x:v>Original vendor/source fields; active estimate and missing specifications remain on PCB.</x:v>
      </x:c>
    </x:row>
    <x:row r="137" ht="236" customHeight="1">
      <x:c r="A137" s="29" t="str">
        <x:v>22: D5</x:v>
      </x:c>
      <x:c r="B137" s="29" t="str">
        <x:v>status: Vendor BOM; package and tolerance still require confirmation
unit_price: 68
source: NTHU_TEST_BOARD_BOM.docx vendor table row 22
source_ids: ["vendor_BOM","schematic","VISHAY_PD"]
per_reference: []
orderability: identified_part_pending_assembly_verification
details: {"spec_en":"Vishay VEMD5060X01; top-view SMD, 5×4×0.9 mm body; 7.5 mm² photosensitive area; visible-to-near-infrared response.","purpose_en":"D5 is the single PD shared by four wells; cathode to PD_SUM / U8 inverting input and anode to ground. It detects both blue and green light, requiring optical filtering and blank correction.","missing_en":"Do not equate the active-area center with the package center; verify assembly coordinates, filter/gasket obscuration and angular acceptance. Confirm final order suffix and supplied part."}
original_source: NTHU_TEST_BOARD_BOM.docx vendor table row 22</x:v>
      </x:c>
      <x:c r="C137" s="29" t="str">
        <x:v>Original vendor/source fields; active estimate and missing specifications remain on PCB.</x:v>
      </x:c>
    </x:row>
    <x:row r="138" ht="180" customHeight="1">
      <x:c r="A138" s="29" t="str">
        <x:v>23: FD1,FD2,FD3,FD4,FD5,FD6,FD
7,FD8</x:v>
      </x:c>
      <x:c r="B138" s="29" t="str">
        <x:v>status: PCB fiducial; not a purchased component
unit_price: 0
source: NTHU_TEST_BOARD_BOM.docx vendor table row 23
source_ids: ["vendor_BOM","schematic"]
per_reference: []
orderability: PCB_feature_not_separate_purchase
details: {"spec_en":"FD_040; eight fiducials.","purpose_en":"Provide vision alignment for SMT assembly; these are not separate LEDs or sensors.","missing_en":"Confirm copper/solder-mask geometry in fabrication data; do not purchase separate components."}
original_source: NTHU_TEST_BOARD_BOM.docx vendor table row 23</x:v>
      </x:c>
      <x:c r="C138" s="29" t="str">
        <x:v>Original vendor/source fields; active estimate and missing specifications remain on PCB.</x:v>
      </x:c>
    </x:row>
    <x:row r="139" ht="194" customHeight="1">
      <x:c r="A139" s="29" t="str">
        <x:v>24: H1,H2,H3,H4</x:v>
      </x:c>
      <x:c r="B139" s="29" t="str">
        <x:v>status: PCB hole; not a separately purchased electronic part
unit_price: 0
source: NTHU_TEST_BOARD_BOM.docx vendor table row 24
source_ids: ["vendor_BOM","schematic"]
per_reference: []
orderability: PCB_feature_not_separate_purchase
details: {"spec_en":"H1–H4; vendor label CON (standoff holes).","purpose_en":"Mechanical PCB fixing holes, not electrical connectors; screws/nuts are listed in the separate materials BOM and must not be counted twice.","missing_en":"Verify diameter, plated/non-plated status, copper keepout and clearance from fabrication drawings/board; this row does not specify a screw size."}
original_source: NTHU_TEST_BOARD_BOM.docx vendor table row 24</x:v>
      </x:c>
      <x:c r="C139" s="29" t="str">
        <x:v>Original vendor/source fields; active estimate and missing specifications remain on PCB.</x:v>
      </x:c>
    </x:row>
    <x:row r="140" ht="222" customHeight="1">
      <x:c r="A140" s="29" t="str">
        <x:v>25: J1</x:v>
      </x:c>
      <x:c r="B140" s="29" t="str">
        <x:v>status: Incomplete specification / orderable MPN
unit_price: 30
source: NTHU_TEST_BOARD_BOM.docx vendor table row 25
source_ids: ["vendor_BOM","schematic","TI_BQ24074"]
per_reference: []
orderability: incomplete_component_specification
details: {"spec_en":"Only Battery_Case is specified; schematic pin 1 connects to BAT and pin 2 to ground.","purpose_en":"Connects to the BQ24074 single-cell Li-ion/Li-poly 4.2 V charging architecture; this does not establish an 18650 holder.","missing_en":"MPN, cell size/chemistry/protection, polarity marking, mounting and height with cell, and current rating are incomplete; R1–R3/R9 are also unspecified. Obtain vendor confirmation first."}
original_source: NTHU_TEST_BOARD_BOM.docx vendor table row 25</x:v>
      </x:c>
      <x:c r="C140" s="29" t="str">
        <x:v>Original vendor/source fields; active estimate and missing specifications remain on PCB.</x:v>
      </x:c>
    </x:row>
    <x:row r="141" ht="208" customHeight="1">
      <x:c r="A141" s="29" t="str">
        <x:v>26: J2</x:v>
      </x:c>
      <x:c r="B141" s="29" t="str">
        <x:v>status: Incomplete specification / orderable MPN
unit_price: 20
source: NTHU_TEST_BOARD_BOM.docx vendor table row 26
source_ids: ["vendor_BOM","schematic"]
per_reference: []
orderability: incomplete_component_specification
details: {"spec_en":"VBUS connects to 5V_USB; CC1/CC2 connect through R13/R14 to ground; D+/D− and SBU are unconnected.","purpose_en":"Power/charging input, not a native USB programming/data port; J3 provides the UART interface.","missing_en":"MPN, footprint/retention tabs, opening location/height and current rating are absent; R13/R14 values are absent, so confirm USB-C power configuration."}
original_source: NTHU_TEST_BOARD_BOM.docx vendor table row 26</x:v>
      </x:c>
      <x:c r="C141" s="29" t="str">
        <x:v>Original vendor/source fields; active estimate and missing specifications remain on PCB.</x:v>
      </x:c>
    </x:row>
    <x:row r="142" ht="208" customHeight="1">
      <x:c r="A142" s="29" t="str">
        <x:v>27: J3</x:v>
      </x:c>
      <x:c r="B142" s="29" t="str">
        <x:v>status: Incomplete specification / orderable MPN
unit_price: 5
source: NTHU_TEST_BOARD_BOM.docx vendor table row 27
source_ids: ["vendor_BOM","schematic"]
per_reference: []
orderability: incomplete_component_specification
details: {"spec_en":"Schematic pin 1=3V3_DIG, 2=ESP32 TXD0, 3=ESP32 RXD0, 4=GND.","purpose_en":"ESP32 3.3 V UART programming/debug interface; cross TX/RX and verify power wiring. Do not apply 5 V logic directly.","missing_en":"Manufacturer/MPN, pitch, straight/right-angle form, pin length/height and mating cable are unspecified; do not automatically assume 2.54 mm."}
original_source: NTHU_TEST_BOARD_BOM.docx vendor table row 27</x:v>
      </x:c>
      <x:c r="C142" s="29" t="str">
        <x:v>Original vendor/source fields; active estimate and missing specifications remain on PCB.</x:v>
      </x:c>
    </x:row>
    <x:row r="143" ht="180" customHeight="1">
      <x:c r="A143" s="29" t="str">
        <x:v>28: L1</x:v>
      </x:c>
      <x:c r="B143" s="29" t="str">
        <x:v>status: Incomplete specification / orderable MPN
unit_price: 10
source: NTHU_TEST_BOARD_BOM.docx vendor table row 28
source_ids: ["vendor_BOM","schematic","TI_TPS61023"]
per_reference: []
orderability: incomplete_component_specification
details: {"spec_en":"L1; inductance and MPN are absent.","purpose_en":"Between U1 Vin and SW; the TPS61023 boost energy-storage element.","missing_en":"Inductance, saturation/RMS current, DCR, shielding, package/height and orderable MPN all require vendor confirmation."}
original_source: NTHU_TEST_BOARD_BOM.docx vendor table row 28</x:v>
      </x:c>
      <x:c r="C143" s="29" t="str">
        <x:v>Original vendor/source fields; active estimate and missing specifications remain on PCB.</x:v>
      </x:c>
    </x:row>
    <x:row r="144" ht="208" customHeight="1">
      <x:c r="A144" s="29" t="str">
        <x:v>29: Q1,Q2,Q3,Q4</x:v>
      </x:c>
      <x:c r="B144" s="29" t="str">
        <x:v>status: Vendor BOM; package and tolerance still require confirmation
unit_price: 5
source: NTHU_TEST_BOARD_BOM.docx vendor table row 29
source_ids: ["vendor_BOM","schematic","AOS_AO3400A"]
per_reference: []
orderability: identified_part_pending_assembly_verification
details: {"spec_en":"AOS AO3400A; 30 V N-channel MOSFET, SOT-23; low-gate-voltage on-resistance is specified.","purpose_en":"Q1–Q4 are low-side switches for LEDs D1–D4, driven by LED_GATE through series resistors with gate pull-downs.","missing_en":"Verify footprint/pinout, supplied part and operating LED current/temperature; device maximum ratings are not allowable board-load guarantees."}
original_source: NTHU_TEST_BOARD_BOM.docx vendor table row 29</x:v>
      </x:c>
      <x:c r="C144" s="29" t="str">
        <x:v>Original vendor/source fields; active estimate and missing specifications remain on PCB.</x:v>
      </x:c>
    </x:row>
    <x:row r="145" ht="222" customHeight="1">
      <x:c r="A145" s="29" t="str">
        <x:v>30: R1</x:v>
      </x:c>
      <x:c r="B145" s="29" t="str">
        <x:v>status: Incomplete specification / orderable MPN
unit_price: 1
source: NTHU_TEST_BOARD_BOM.docx vendor table row 30
source_ids: ["vendor_BOM","schematic"]
per_reference: [{"reference":"R1","purpose_en":"U2 ITERM-to-ground resistor setting charge-termination current.","location_en":"Schematic page 1: charger / power path","page":1}]
orderability: incomplete_passive_specification
details: {"spec_en":"No resistance is given in the vendor BOM or schematic.","purpose_en":"R1: U2 ITERM-to-ground resistor setting charge-termination current.","missing_en":"Manufacturer/orderable MPN, case dimensions/height, power rating, tolerance, temperature coefficient and maximum working voltage are not supplied."}
original_source: NTHU_TEST_BOARD_BOM.docx vendor table row 30</x:v>
      </x:c>
      <x:c r="C145" s="29" t="str">
        <x:v>Original vendor/source fields; active estimate and missing specifications remain on PCB.</x:v>
      </x:c>
    </x:row>
    <x:row r="146" ht="208" customHeight="1">
      <x:c r="A146" s="29" t="str">
        <x:v>31: R2</x:v>
      </x:c>
      <x:c r="B146" s="29" t="str">
        <x:v>status: Incomplete specification / orderable MPN
unit_price: 1
source: NTHU_TEST_BOARD_BOM.docx vendor table row 31
source_ids: ["vendor_BOM","schematic"]
per_reference: [{"reference":"R2","purpose_en":"U2 ILIM-to-ground resistor setting the input-current limit.","location_en":"Schematic page 1: charger / power path","page":1}]
orderability: incomplete_passive_specification
details: {"spec_en":"No resistance is given in the vendor BOM or schematic.","purpose_en":"R2: U2 ILIM-to-ground resistor setting the input-current limit.","missing_en":"Manufacturer/orderable MPN, case dimensions/height, power rating, tolerance, temperature coefficient and maximum working voltage are not supplied."}
original_source: NTHU_TEST_BOARD_BOM.docx vendor table row 31</x:v>
      </x:c>
      <x:c r="C146" s="29" t="str">
        <x:v>Original vendor/source fields; active estimate and missing specifications remain on PCB.</x:v>
      </x:c>
    </x:row>
    <x:row r="147" ht="208" customHeight="1">
      <x:c r="A147" s="29" t="str">
        <x:v>32: R3</x:v>
      </x:c>
      <x:c r="B147" s="29" t="str">
        <x:v>status: Incomplete specification / orderable MPN
unit_price: 1
source: NTHU_TEST_BOARD_BOM.docx vendor table row 32
source_ids: ["vendor_BOM","schematic"]
per_reference: [{"reference":"R3","purpose_en":"U2 ISET-to-ground resistor setting charge current.","location_en":"Schematic page 1: charger / power path","page":1}]
orderability: incomplete_passive_specification
details: {"spec_en":"No resistance is given in the vendor BOM or schematic.","purpose_en":"R3: U2 ISET-to-ground resistor setting charge current.","missing_en":"Manufacturer/orderable MPN, case dimensions/height, power rating, tolerance, temperature coefficient and maximum working voltage are not supplied."}
original_source: NTHU_TEST_BOARD_BOM.docx vendor table row 32</x:v>
      </x:c>
      <x:c r="C147" s="29" t="str">
        <x:v>Original vendor/source fields; active estimate and missing specifications remain on PCB.</x:v>
      </x:c>
    </x:row>
    <x:row r="148" ht="208" customHeight="1">
      <x:c r="A148" s="29" t="str">
        <x:v>33: R4</x:v>
      </x:c>
      <x:c r="B148" s="29" t="str">
        <x:v>status: Incomplete specification / orderable MPN
unit_price: 1
source: NTHU_TEST_BOARD_BOM.docx vendor table row 33
source_ids: ["vendor_BOM","schematic"]
per_reference: [{"reference":"R4","purpose_en":"Series resistor from SW1 to the U1 EN / U3 P3 node.","location_en":"Schematic page 1: power enable","page":1}]
orderability: incomplete_passive_specification
details: {"spec_en":"No resistance is given in the vendor BOM or schematic.","purpose_en":"R4: Series resistor from SW1 to the U1 EN / U3 P3 node.","missing_en":"Manufacturer/orderable MPN, case dimensions/height, power rating, tolerance, temperature coefficient and maximum working voltage are not supplied."}
original_source: NTHU_TEST_BOARD_BOM.docx vendor table row 33</x:v>
      </x:c>
      <x:c r="C148" s="29" t="str">
        <x:v>Original vendor/source fields; active estimate and missing specifications remain on PCB.</x:v>
      </x:c>
    </x:row>
    <x:row r="149" ht="208" customHeight="1">
      <x:c r="A149" s="29" t="str">
        <x:v>34: R5</x:v>
      </x:c>
      <x:c r="B149" s="29" t="str">
        <x:v>status: Incomplete specification / orderable MPN
unit_price: 1
source: NTHU_TEST_BOARD_BOM.docx vendor table row 34
source_ids: ["vendor_BOM","schematic"]
per_reference: [{"reference":"R5","purpose_en":"Series current-limiting resistor for the DPS1 status LED.","location_en":"Schematic page 1: charger status","page":1}]
orderability: incomplete_passive_specification
details: {"spec_en":"No resistance is given in the vendor BOM or schematic.","purpose_en":"R5: Series current-limiting resistor for the DPS1 status LED.","missing_en":"Manufacturer/orderable MPN, case dimensions/height, power rating, tolerance, temperature coefficient and maximum working voltage are not supplied."}
original_source: NTHU_TEST_BOARD_BOM.docx vendor table row 34</x:v>
      </x:c>
      <x:c r="C149" s="29" t="str">
        <x:v>Original vendor/source fields; active estimate and missing specifications remain on PCB.</x:v>
      </x:c>
    </x:row>
    <x:row r="150" ht="222" customHeight="1">
      <x:c r="A150" s="29" t="str">
        <x:v>35: R6</x:v>
      </x:c>
      <x:c r="B150" s="29" t="str">
        <x:v>status: Incomplete specification / orderable MPN
unit_price: 1
source: NTHU_TEST_BOARD_BOM.docx vendor table row 35
source_ids: ["vendor_BOM","schematic"]
per_reference: [{"reference":"R6","purpose_en":"Upper feedback resistor from the 5V output to U1 FB; sets output together with R8.","location_en":"Schematic page 1: boost supply","page":1}]
orderability: incomplete_passive_specification
details: {"spec_en":"No resistance is given in the vendor BOM or schematic.","purpose_en":"R6: Upper feedback resistor from the 5V output to U1 FB; sets output together with R8.","missing_en":"Manufacturer/orderable MPN, case dimensions/height, power rating, tolerance, temperature coefficient and maximum working voltage are not supplied."}
original_source: NTHU_TEST_BOARD_BOM.docx vendor table row 35</x:v>
      </x:c>
      <x:c r="C150" s="29" t="str">
        <x:v>Original vendor/source fields; active estimate and missing specifications remain on PCB.</x:v>
      </x:c>
    </x:row>
    <x:row r="151" ht="208" customHeight="1">
      <x:c r="A151" s="29" t="str">
        <x:v>36: R7</x:v>
      </x:c>
      <x:c r="B151" s="29" t="str">
        <x:v>status: Incomplete specification / orderable MPN
unit_price: 1
source: NTHU_TEST_BOARD_BOM.docx vendor table row 36
source_ids: ["vendor_BOM","schematic"]
per_reference: [{"reference":"R7","purpose_en":"Series current-limiting resistor for the DPS2 charging LED.","location_en":"Schematic page 1: charger status","page":1}]
orderability: incomplete_passive_specification
details: {"spec_en":"No resistance is given in the vendor BOM or schematic.","purpose_en":"R7: Series current-limiting resistor for the DPS2 charging LED.","missing_en":"Manufacturer/orderable MPN, case dimensions/height, power rating, tolerance, temperature coefficient and maximum working voltage are not supplied."}
original_source: NTHU_TEST_BOARD_BOM.docx vendor table row 36</x:v>
      </x:c>
      <x:c r="C151" s="29" t="str">
        <x:v>Original vendor/source fields; active estimate and missing specifications remain on PCB.</x:v>
      </x:c>
    </x:row>
    <x:row r="152" ht="222" customHeight="1">
      <x:c r="A152" s="29" t="str">
        <x:v>37: R8</x:v>
      </x:c>
      <x:c r="B152" s="29" t="str">
        <x:v>status: Incomplete specification / orderable MPN
unit_price: 1
source: NTHU_TEST_BOARD_BOM.docx vendor table row 37
source_ids: ["vendor_BOM","schematic"]
per_reference: [{"reference":"R8","purpose_en":"Lower feedback resistor from U1 FB to ground; sets output together with R6.","location_en":"Schematic page 1: boost supply","page":1}]
orderability: incomplete_passive_specification
details: {"spec_en":"No resistance is given in the vendor BOM or schematic.","purpose_en":"R8: Lower feedback resistor from U1 FB to ground; sets output together with R6.","missing_en":"Manufacturer/orderable MPN, case dimensions/height, power rating, tolerance, temperature coefficient and maximum working voltage are not supplied."}
original_source: NTHU_TEST_BOARD_BOM.docx vendor table row 37</x:v>
      </x:c>
      <x:c r="C152" s="29" t="str">
        <x:v>Original vendor/source fields; active estimate and missing specifications remain on PCB.</x:v>
      </x:c>
    </x:row>
    <x:row r="153" ht="236" customHeight="1">
      <x:c r="A153" s="29" t="str">
        <x:v>38: R9</x:v>
      </x:c>
      <x:c r="B153" s="29" t="str">
        <x:v>status: Incomplete specification / orderable MPN
unit_price: 1
source: NTHU_TEST_BOARD_BOM.docx vendor table row 38
source_ids: ["vendor_BOM","schematic"]
per_reference: [{"reference":"R9","purpose_en":"Bias branch from U2 TS to ground; the drawing only shows a resistor, not a verified battery-temperature sensor.","location_en":"Schematic page 1: charger TS","page":1}]
orderability: incomplete_passive_specification
details: {"spec_en":"No resistance is given in the vendor BOM or schematic.","purpose_en":"R9: Bias branch from U2 TS to ground; the drawing only shows a resistor, not a verified battery-temperature sensor.","missing_en":"Manufacturer/orderable MPN, case dimensions/height, power rating, tolerance, temperature coefficient and maximum working voltage are not supplied."}
original_source: NTHU_TEST_BOARD_BOM.docx vendor table row 38</x:v>
      </x:c>
      <x:c r="C153" s="29" t="str">
        <x:v>Original vendor/source fields; active estimate and missing specifications remain on PCB.</x:v>
      </x:c>
    </x:row>
    <x:row r="154" ht="236" customHeight="1">
      <x:c r="A154" s="29" t="str">
        <x:v>39: R10</x:v>
      </x:c>
      <x:c r="B154" s="29" t="str">
        <x:v>status: Incomplete specification / orderable MPN
unit_price: 1
source: NTHU_TEST_BOARD_BOM.docx vendor table row 39
source_ids: ["vendor_BOM","schematic"]
per_reference: [{"reference":"R10","purpose_en":"Upper divider from system supply to U3 P2, used with R12/C9; exact U3 function is unknown.","location_en":"Schematic page 1: U3 power-control circuitry","page":1}]
orderability: incomplete_passive_specification
details: {"spec_en":"No resistance is given in the vendor BOM or schematic.","purpose_en":"R10: Upper divider from system supply to U3 P2, used with R12/C9; exact U3 function is unknown.","missing_en":"Manufacturer/orderable MPN, case dimensions/height, power rating, tolerance, temperature coefficient and maximum working voltage are not supplied."}
original_source: NTHU_TEST_BOARD_BOM.docx vendor table row 39</x:v>
      </x:c>
      <x:c r="C154" s="29" t="str">
        <x:v>Original vendor/source fields; active estimate and missing specifications remain on PCB.</x:v>
      </x:c>
    </x:row>
    <x:row r="155" ht="208" customHeight="1">
      <x:c r="A155" s="29" t="str">
        <x:v>40: R11</x:v>
      </x:c>
      <x:c r="B155" s="29" t="str">
        <x:v>status: Incomplete specification / orderable MPN
unit_price: 1
source: NTHU_TEST_BOARD_BOM.docx vendor table row 40
source_ids: ["vendor_BOM","schematic"]
per_reference: [{"reference":"R11","purpose_en":"Pull-down from the common U1 EN / U3 P3 node to ground.","location_en":"Schematic page 1: power enable","page":1}]
orderability: incomplete_passive_specification
details: {"spec_en":"No resistance is given in the vendor BOM or schematic.","purpose_en":"R11: Pull-down from the common U1 EN / U3 P3 node to ground.","missing_en":"Manufacturer/orderable MPN, case dimensions/height, power rating, tolerance, temperature coefficient and maximum working voltage are not supplied."}
original_source: NTHU_TEST_BOARD_BOM.docx vendor table row 40</x:v>
      </x:c>
      <x:c r="C155" s="29" t="str">
        <x:v>Original vendor/source fields; active estimate and missing specifications remain on PCB.</x:v>
      </x:c>
    </x:row>
    <x:row r="156" ht="236" customHeight="1">
      <x:c r="A156" s="29" t="str">
        <x:v>41: R12</x:v>
      </x:c>
      <x:c r="B156" s="29" t="str">
        <x:v>status: Incomplete specification / orderable MPN
unit_price: 1
source: NTHU_TEST_BOARD_BOM.docx vendor table row 41
source_ids: ["vendor_BOM","schematic"]
per_reference: [{"reference":"R12","purpose_en":"Lower divider from U3 P2 to ground, used with R10/C9; exact U3 function is unknown.","location_en":"Schematic page 1: U3 power-control circuitry","page":1}]
orderability: incomplete_passive_specification
details: {"spec_en":"No resistance is given in the vendor BOM or schematic.","purpose_en":"R12: Lower divider from U3 P2 to ground, used with R10/C9; exact U3 function is unknown.","missing_en":"Manufacturer/orderable MPN, case dimensions/height, power rating, tolerance, temperature coefficient and maximum working voltage are not supplied."}
original_source: NTHU_TEST_BOARD_BOM.docx vendor table row 41</x:v>
      </x:c>
      <x:c r="C156" s="29" t="str">
        <x:v>Original vendor/source fields; active estimate and missing specifications remain on PCB.</x:v>
      </x:c>
    </x:row>
    <x:row r="157" ht="236" customHeight="1">
      <x:c r="A157" s="29" t="str">
        <x:v>42: R13</x:v>
      </x:c>
      <x:c r="B157" s="29" t="str">
        <x:v>status: Incomplete specification / orderable MPN
unit_price: 1
source: NTHU_TEST_BOARD_BOM.docx vendor table row 42
source_ids: ["vendor_BOM","schematic"]
per_reference: [{"reference":"R13","purpose_en":"USB-C CC1-to-ground pull-down; value is absent and must not be replaced by an assumed typical value.","location_en":"Schematic page 1: USB-C","page":1}]
orderability: incomplete_passive_specification
details: {"spec_en":"No resistance is given in the vendor BOM or schematic.","purpose_en":"R13: USB-C CC1-to-ground pull-down; value is absent and must not be replaced by an assumed typical value.","missing_en":"Manufacturer/orderable MPN, case dimensions/height, power rating, tolerance, temperature coefficient and maximum working voltage are not supplied."}
original_source: NTHU_TEST_BOARD_BOM.docx vendor table row 42</x:v>
      </x:c>
      <x:c r="C157" s="29" t="str">
        <x:v>Original vendor/source fields; active estimate and missing specifications remain on PCB.</x:v>
      </x:c>
    </x:row>
    <x:row r="158" ht="236" customHeight="1">
      <x:c r="A158" s="29" t="str">
        <x:v>43: R14</x:v>
      </x:c>
      <x:c r="B158" s="29" t="str">
        <x:v>status: Incomplete specification / orderable MPN
unit_price: 1
source: NTHU_TEST_BOARD_BOM.docx vendor table row 43
source_ids: ["vendor_BOM","schematic"]
per_reference: [{"reference":"R14","purpose_en":"USB-C CC2-to-ground pull-down; value is absent and must not be replaced by an assumed typical value.","location_en":"Schematic page 1: USB-C","page":1}]
orderability: incomplete_passive_specification
details: {"spec_en":"No resistance is given in the vendor BOM or schematic.","purpose_en":"R14: USB-C CC2-to-ground pull-down; value is absent and must not be replaced by an assumed typical value.","missing_en":"Manufacturer/orderable MPN, case dimensions/height, power rating, tolerance, temperature coefficient and maximum working voltage are not supplied."}
original_source: NTHU_TEST_BOARD_BOM.docx vendor table row 43</x:v>
      </x:c>
      <x:c r="C158" s="29" t="str">
        <x:v>Original vendor/source fields; active estimate and missing specifications remain on PCB.</x:v>
      </x:c>
    </x:row>
    <x:row r="159" ht="166" customHeight="1">
      <x:c r="A159" s="29" t="str">
        <x:v>44: R15,R28,R35</x:v>
      </x:c>
      <x:c r="B159" s="29" t="str">
        <x:v>status: Vendor BOM; package and tolerance still require confirmation
unit_price: 1
source: NTHU_TEST_BOARD_BOM.docx vendor table row 44
source_ids: ["vendor_BOM","schematic"]
per_reference: [{"reference":"R15","purpose_en":"Pull-up from ESP_EN to 3V3_DIG.","location_en":"Schematic page 2: ESP32 reset","page":2},{"reference":"R28","purpose_en":"Pull-up from U7 SHDN to Vin / 3V3_ANA.","location_en":"Schematic page 2: 2V5_REF","page":2},{"reference":"R35","purpose_en":"DIN-to-3V3_DIG pull-up for the three-wire CS-mode configuration labelled in the schematic.",</x:v>
      </x:c>
      <x:c r="C159" s="29" t="str">
        <x:v>Original vendor/source fields; active estimate and missing specifications remain on PCB.</x:v>
      </x:c>
    </x:row>
    <x:row r="160" ht="152" customHeight="1">
      <x:c r="A160" s="29" t="str">
        <x:v>44: R15,R28,R35 (continued)</x:v>
      </x:c>
      <x:c r="B160" s="29" t="str">
        <x:v>"location_en":"Schematic page 2: ADC","page":2}]
orderability: incomplete_passive_specification
details: {"spec_en":"Vendor nominal resistance: 10k.","purpose_en":"R15: Pull-up from ESP_EN to 3V3_DIG.；R28: Pull-up from U7 SHDN to Vin / 3V3_ANA.；R35: DIN-to-3V3_DIG pull-up for the three-wire CS-mode configuration labelled in the schematic.","missing_en":"Manufacturer/orderable MPN, case dimensions/height, power rating, tolerance, temperature coefficient and maximum working voltage are not supplied."}
original_source: NTHU_TEST_BOARD_BOM.docx vendor table row 44</x:v>
      </x:c>
      <x:c r="C160" s="29" t="str"/>
    </x:row>
    <x:row r="161" ht="264" customHeight="1">
      <x:c r="A161" s="29" t="str">
        <x:v>45: R16,R21,R24,R29,R30,R31,R3
6</x:v>
      </x:c>
      <x:c r="B161" s="29" t="str">
        <x:v>status: Vendor BOM; package and tolerance still require confirmation
unit_price: 1
source: NTHU_TEST_BOARD_BOM.docx vendor table row 45
source_ids: ["vendor_BOM","schematic"]
per_reference: [{"reference":"R16","purpose_en":"5V series current-limiting resistor for blue LED D1.","location_en":"Schematic page 2: LEDs","page":2},{"reference":"R21","purpose_en":"5V series current-limiting resistor for blue LED D2.","location_en":"Schematic page 2: LEDs","page":2},{"reference":"R24","purpose_en":"5V series current-limiting resistor for blue LED D3.","location_en":"Schematic page 2: LEDs","page":2},{"reference":"R29","purpose_en":"Series isolation/filtering resistor from U8 output to ADC_AINP.","location_en":"Schematic page 2: TIA / ADC","page":2},{"reference":"R30","purpose_en":"5V series current-limiting resistor for blue LED D4.","location_en":"Schematic page 2: LEDs","page":2},{"reference":"R31","purpose_en":"Series supply-filter resistor from 3V3_ANA to the U8 local supply, used with C25/C26.",</x:v>
      </x:c>
      <x:c r="C161" s="29" t="str">
        <x:v>Original vendor/source fields; active estimate and missing specifications remain on PCB.</x:v>
      </x:c>
    </x:row>
    <x:row r="162" ht="264" customHeight="1">
      <x:c r="A162" s="29" t="str">
        <x:v>45: R16,R21,R24,R29,R30,R31,R3
6 (continued)</x:v>
      </x:c>
      <x:c r="B162" s="29" t="str">
        <x:v>"location_en":"Schematic page 2: TIA supply","page":2},{"reference":"R36","purpose_en":"Series resistor from ADC_AINN to ground in the R29/C24 input network.","location_en":"Schematic page 2: TIA / ADC","page":2}]
orderability: incomplete_passive_specification
details: {"spec_en":"Vendor nominal resistance: 100R.","purpose_en":"R16: 5V series current-limiting resistor for blue LED D1.；R21: 5V series current-limiting resistor for blue LED D2.；R24: 5V series current-limiting resistor for blue LED D3.；R29: Series isolation/filtering resistor from U8 output to ADC_AINP.；R30: 5V series current-limiting resistor for blue LED D4.；R31: Series supply-filter resistor from 3V3_ANA to the U8 local supply, used with C25/C26.；R36: Series resistor from ADC_AINN to ground in the R29/C24 input network.","missing_en":"Manufacturer/orderable MPN, case dimensions/height, power rating, tolerance, temperature coefficient and maximum working voltage are not supplied."}
original_source: NTHU_TEST_BOARD_BOM.docx vendor table row 45</x:v>
      </x:c>
      <x:c r="C162" s="29" t="str"/>
    </x:row>
    <x:row r="163" ht="180" customHeight="1">
      <x:c r="A163" s="29" t="str">
        <x:v>46: R17,R22,R25,R32</x:v>
      </x:c>
      <x:c r="B163" s="29" t="str">
        <x:v>status: Vendor BOM; package and tolerance still require confirmation
unit_price: 1
source: NTHU_TEST_BOARD_BOM.docx vendor table row 46
source_ids: ["vendor_BOM","schematic"]
per_reference: [{"reference":"R17","purpose_en":"Series resistor from LED1_GATE to the Q1 gate.","location_en":"Schematic page 2: LEDs","page":2},{"reference":"R22","purpose_en":"Series resistor from LED2_GATE to the Q2 gate.","location_en":"Schematic page 2: LEDs","page":2},{"reference":"R25","purpose_en":"Series resistor from LED3_GATE to the Q3 gate.","location_en":"Schematic page 2: LEDs","page":2},{"reference":"R32","purpose_en":"Series resistor from LED4_GATE to</x:v>
      </x:c>
      <x:c r="C163" s="29" t="str">
        <x:v>Original vendor/source fields; active estimate and missing specifications remain on PCB.</x:v>
      </x:c>
    </x:row>
    <x:row r="164" ht="166" customHeight="1">
      <x:c r="A164" s="29" t="str">
        <x:v>46: R17,R22,R25,R32 (continued)</x:v>
      </x:c>
      <x:c r="B164" s="29" t="str">
        <x:v> the Q4 gate.","location_en":"Schematic page 2: LEDs","page":2}]
orderability: incomplete_passive_specification
details: {"spec_en":"Vendor nominal resistance: 220R.","purpose_en":"R17: Series resistor from LED1_GATE to the Q1 gate.；R22: Series resistor from LED2_GATE to the Q2 gate.；R25: Series resistor from LED3_GATE to the Q3 gate.；R32: Series resistor from LED4_GATE to the Q4 gate.","missing_en":"Manufacturer/orderable MPN, case dimensions/height, power rating, tolerance, temperature coefficient and maximum working voltage are not supplied."}
original_source: NTHU_TEST_BOARD_BOM.docx vendor table row 46</x:v>
      </x:c>
      <x:c r="C164" s="29" t="str"/>
    </x:row>
    <x:row r="165" ht="180" customHeight="1">
      <x:c r="A165" s="29" t="str">
        <x:v>47: R20,R23,R26,R33</x:v>
      </x:c>
      <x:c r="B165" s="29" t="str">
        <x:v>status: Vendor BOM; package and tolerance still require confirmation
unit_price: 1
source: NTHU_TEST_BOARD_BOM.docx vendor table row 47
source_ids: ["vendor_BOM","schematic"]
per_reference: [{"reference":"R20","purpose_en":"Pull-down from the Q1 gate to its source / ground.","location_en":"Schematic page 2: LEDs","page":2},{"reference":"R23","purpose_en":"Pull-down from the Q2 gate to its source / ground.","location_en":"Schematic page 2: LEDs","page":2},{"reference":"R26","purpose_en":"Pull-down from the Q3 gate to its source / ground.","location_en":"Schematic page 2: LEDs","page":2},{"reference":"R33","purpose_en":"Pull-down from the Q4 gate to its</x:v>
      </x:c>
      <x:c r="C165" s="29" t="str">
        <x:v>Original vendor/source fields; active estimate and missing specifications remain on PCB.</x:v>
      </x:c>
    </x:row>
    <x:row r="166" ht="180" customHeight="1">
      <x:c r="A166" s="29" t="str">
        <x:v>47: R20,R23,R26,R33 (continued)</x:v>
      </x:c>
      <x:c r="B166" s="29" t="str">
        <x:v> source / ground.","location_en":"Schematic page 2: LEDs","page":2}]
orderability: incomplete_passive_specification
details: {"spec_en":"Vendor nominal resistance: 100k.","purpose_en":"R20: Pull-down from the Q1 gate to its source / ground.；R23: Pull-down from the Q2 gate to its source / ground.；R26: Pull-down from the Q3 gate to its source / ground.；R33: Pull-down from the Q4 gate to its source / ground.","missing_en":"Manufacturer/orderable MPN, case dimensions/height, power rating, tolerance, temperature coefficient and maximum working voltage are not supplied."}
original_source: NTHU_TEST_BOARD_BOM.docx vendor table row 47</x:v>
      </x:c>
      <x:c r="C166" s="29" t="str"/>
    </x:row>
    <x:row r="167" ht="264" customHeight="1">
      <x:c r="A167" s="29" t="str">
        <x:v>48: R27</x:v>
      </x:c>
      <x:c r="B167" s="29" t="str">
        <x:v>status: Vendor BOM; package and tolerance still require confirmation
unit_price: 30
source: NTHU_TEST_BOARD_BOM.docx vendor table row 48
source_ids: ["vendor_BOM","schematic"]
per_reference: [{"reference":"R27","purpose_en":"Transimpedance feedback from U8 output to its inverting input, converting PD photocurrent to voltage; in parallel with C21.","location_en":"Schematic page 2: TIA","page":2}]
orderability: incomplete_passive_specification
details: {"spec_en":"Vendor nominal resistance: 100M.","purpose_en":"R27: Transimpedance feedback from U8 output to its inverting input, converting PD photocurrent to voltage; in parallel with C21.","missing_en":"Manufacturer/orderable MPN, case dimensions/height, power rating, tolerance, temperature coefficient and maximum working voltage are not supplied. The 100 MΩ feedback also requires leakage, cleaning/humidity and noise review; resistance alone is insufficient."}
original_source: NTHU_TEST_BOARD_BOM.docx vendor table row 48</x:v>
      </x:c>
      <x:c r="C167" s="29" t="str">
        <x:v>Original vendor/source fields; active estimate and missing specifications remain on PCB.</x:v>
      </x:c>
    </x:row>
    <x:row r="168" ht="236" customHeight="1">
      <x:c r="A168" s="29" t="str">
        <x:v>49: R34</x:v>
      </x:c>
      <x:c r="B168" s="29" t="str">
        <x:v>status: Vendor BOM; package and tolerance still require confirmation
unit_price: 5
source: NTHU_TEST_BOARD_BOM.docx vendor table row 49
source_ids: ["vendor_BOM","schematic"]
per_reference: [{"reference":"R34","purpose_en":"In series with C28 in the VREF_2V5-to-ground bypass branch; not a current-sense resistor or series ADC-signal resistor.","location_en":"Schematic page 2: ADC reference","page":2}]
orderability: incomplete_passive_specification
details: {"spec_en":"Vendor nominal resistance: 0.1R.","purpose_en":"R34: In series with C28 in the VREF_2V5-to-ground bypass branch; not a current-sense resistor or series ADC-signal resistor.","missing_en":"Manufacturer/orderable MPN, case dimensions/height, power rating, tolerance, temperature coefficient and maximum working voltage are not supplied."}
original_source: NTHU_TEST_BOARD_BOM.docx vendor table row 49</x:v>
      </x:c>
      <x:c r="C168" s="29" t="str">
        <x:v>Original vendor/source fields; active estimate and missing specifications remain on PCB.</x:v>
      </x:c>
    </x:row>
    <x:row r="169" ht="264" customHeight="1">
      <x:c r="A169" s="29" t="str">
        <x:v>50: R37,R38</x:v>
      </x:c>
      <x:c r="B169" s="29" t="str">
        <x:v>status: Vendor BOM; package and tolerance still require confirmation
unit_price: 1
source: NTHU_TEST_BOARD_BOM.docx vendor table row 50
source_ids: ["vendor_BOM","schematic"]
per_reference: [{"reference":"R37","purpose_en":"Series resistor from ESP32 ADC_SCLK to U9 SCLK.","location_en":"Schematic page 2: ADC digital interface","page":2},{"reference":"R38","purpose_en":"Series resistor from ESP32 ADC_CONVST to U9 CONVST.","location_en":"Schematic page 2: ADC digital interface","page":2}]
orderability: incomplete_passive_specification
details: {"spec_en":"Vendor nominal resistance: 47R.","purpose_en":"R37: Series resistor from ESP32 ADC_SCLK to U9 SCLK.；R38: Series resistor from ESP32 ADC_CONVST to U9 CONVST.","missing_en":"Manufacturer/orderable MPN, case dimensions/height, power rating, tolerance, temperature coefficient and maximum working voltage are not supplied."}
original_source: NTHU_TEST_BOARD_BOM.docx vendor table row 50</x:v>
      </x:c>
      <x:c r="C169" s="29" t="str">
        <x:v>Original vendor/source fields; active estimate and missing specifications remain on PCB.</x:v>
      </x:c>
    </x:row>
    <x:row r="170" ht="208" customHeight="1">
      <x:c r="A170" s="29" t="str">
        <x:v>51: SW1</x:v>
      </x:c>
      <x:c r="B170" s="29" t="str">
        <x:v>status: Incomplete specification / orderable MPN
unit_price: 15
source: NTHU_TEST_BOARD_BOM.docx vendor table row 51
source_ids: ["vendor_BOM","schematic"]
per_reference: []
orderability: incomplete_component_specification
details: {"spec_en":"Three schematic contacts COMM/B/A; COMM is at system supply, B connects through R4 to EN, and A is unconnected.","purpose_en":"Switches the U1 boost-enable control; it does not establish isolation of the USB charger or all battery current.","missing_en":"MPN, physical type, footprint/actuator position and travel, ratings and panel opening are unspecified."}
original_source: NTHU_TEST_BOARD_BOM.docx vendor table row 51</x:v>
      </x:c>
      <x:c r="C170" s="29" t="str">
        <x:v>Original vendor/source fields; active estimate and missing specifications remain on PCB.</x:v>
      </x:c>
    </x:row>
    <x:row r="171" ht="180" customHeight="1">
      <x:c r="A171" s="29" t="str">
        <x:v>52: SW2,SW3</x:v>
      </x:c>
      <x:c r="B171" s="29" t="str">
        <x:v>status: Incomplete specification / orderable MPN
unit_price: 5
source: NTHU_TEST_BOARD_BOM.docx vendor table row 52
source_ids: ["vendor_BOM","schematic"]
per_reference: []
orderability: incomplete_component_specification
details: {"spec_en":"SW2 and SW3; each grounds its respective signal when pressed.","purpose_en":"SW2: ESP_EN reset; SW3: ESP_IO0 boot/download-mode selection.","missing_en":"MPN, contact rating, footprint/actuation height/direction, force and life are unspecified."}
original_source: NTHU_TEST_BOARD_BOM.docx vendor table row 52</x:v>
      </x:c>
      <x:c r="C171" s="29" t="str">
        <x:v>Original vendor/source fields; active estimate and missing specifications remain on PCB.</x:v>
      </x:c>
    </x:row>
    <x:row r="172" ht="208" customHeight="1">
      <x:c r="A172" s="29" t="str">
        <x:v>53: U1</x:v>
      </x:c>
      <x:c r="B172" s="29" t="str">
        <x:v>status: Vendor BOM; package and tolerance still require confirmation
unit_price: 52
source: NTHU_TEST_BOARD_BOM.docx vendor table row 53
source_ids: ["vendor_BOM","schematic","TI_TPS61023"]
per_reference: []
orderability: identified_part_pending_assembly_verification
details: {"spec_en":"TI TPS61023; 6-pin SOT-563 (DRL). The 3.7 A figure is a switch-current limit, not a 5 V output-current rating.","purpose_en":"Boosts the charger OUT / battery-system supply to the rail labelled 5V for LEDs and downstream LDOs.","missing_en":"Full ordering suffix and L1/C2–C5/R6/R8 values are incomplete; vendor must validate the 5V setting, stability and available fan current."}
original_source: NTHU_TEST_BOARD_BOM.docx vendor table row 53</x:v>
      </x:c>
      <x:c r="C172" s="29" t="str">
        <x:v>Original vendor/source fields; active estimate and missing specifications remain on PCB.</x:v>
      </x:c>
    </x:row>
    <x:row r="173" ht="208" customHeight="1">
      <x:c r="A173" s="29" t="str">
        <x:v>54: U2</x:v>
      </x:c>
      <x:c r="B173" s="29" t="str">
        <x:v>status: Vendor BOM; package and tolerance still require confirmation
unit_price: 88
source: NTHU_TEST_BOARD_BOM.docx vendor table row 54
source_ids: ["vendor_BOM","schematic","TI_BQ24074"]
per_reference: []
orderability: identified_part_pending_assembly_verification
details: {"spec_en":"TI BQ24074; 4.2 V single-cell Li-ion/Li-poly charger; 16-pin VQFN (RGT), 3×3 mm.","purpose_en":"Interfaces USB 5V_USB, the BAT battery node and OUT system supply; OUT is not the regulated 5V boost output.","missing_en":"Full ordering suffix, R1/R2/R3/R9, cell and thermal configuration remain incomplete; the device 1.5 A capability is not the configured board charging current."}
original_source: NTHU_TEST_BOARD_BOM.docx vendor table row 54</x:v>
      </x:c>
      <x:c r="C173" s="29" t="str">
        <x:v>Original vendor/source fields; active estimate and missing specifications remain on PCB.</x:v>
      </x:c>
    </x:row>
    <x:row r="174" ht="194" customHeight="1">
      <x:c r="A174" s="29" t="str">
        <x:v>55: U3</x:v>
      </x:c>
      <x:c r="B174" s="29" t="str">
        <x:v>status: Incomplete specification / orderable MPN
source: NTHU_TEST_BOARD_BOM.docx vendor table row 55
source_ids: ["vendor_BOM","schematic"]
per_reference: []
orderability: unidentified_component
details: {"spec_en":"Only U3 and P1–P6 are provided; no MPN or functional identity.","purpose_en":"P1 connects to system supply, P5 to ground, P2 to R10/R12/C9, P3 to boost EN, and P4/P6 each to a capacitor to ground. Vendor identification is required.","missing_en":"IC type, MPN, supply/output ratings, pin functions, package and external values are unknown; no substitute can be specified."}
original_source: NTHU_TEST_BOARD_BOM.docx vendor table row 55</x:v>
      </x:c>
      <x:c r="C174" s="29" t="str">
        <x:v>Original vendor/source fields; active estimate and missing specifications remain on PCB.</x:v>
      </x:c>
    </x:row>
    <x:row r="175" ht="222" customHeight="1">
      <x:c r="A175" s="29" t="str">
        <x:v>56: U4</x:v>
      </x:c>
      <x:c r="B175" s="29" t="str">
        <x:v>status: Vendor BOM; package and tolerance still require confirmation
unit_price: 181
source: NTHU_TEST_BOARD_BOM.docx vendor table row 56
source_ids: ["vendor_BOM","schematic","ESPRESSIF_32E"]
per_reference: []
orderability: identified_part_pending_assembly_verification
details: {"spec_en":"Espressif ESP32-WROOM-32E; 2.4 GHz wireless module for a 3.3 V system; 32E uses an onboard PCB antenna.","purpose_en":"Controls four LED channels, reads ADS8866 and provides networking; schematic UART is available at J3.","missing_en":"Confirm the full flash/temperature ordering variant, assembled height and antenna keepout/enclosure clearance; do not confuse 32E with the external-antenna-connector 32UE."}
original_source: NTHU_TEST_BOARD_BOM.docx vendor table row 56</x:v>
      </x:c>
      <x:c r="C175" s="29" t="str">
        <x:v>Original vendor/source fields; active estimate and missing specifications remain on PCB.</x:v>
      </x:c>
    </x:row>
    <x:row r="176" ht="208" customHeight="1">
      <x:c r="A176" s="29" t="str">
        <x:v>57: U5</x:v>
      </x:c>
      <x:c r="B176" s="29" t="str">
        <x:v>status: Vendor BOM; package and tolerance still require confirmation
unit_price: 10
source: NTHU_TEST_BOARD_BOM.docx vendor table row 57
source_ids: ["vendor_BOM","schematic","ECMOS_EC50117"]
per_reference: []
orderability: identified_part_pending_assembly_verification
details: {"spec_en":"E-CMOS EC50117KBG; manufacturer ordering table identifies fixed 3.3 V, SOT-223; series nominal 1 A capability.","purpose_en":"Converts the 5V input to 3V3_DIG for ESP32 and digital circuitry.","missing_en":"Available current depends on dropout, PCB cooling and load; verify C17/C18 type, stability and assembled package. Continuous 1 A board output is not established."}
original_source: NTHU_TEST_BOARD_BOM.docx vendor table row 57</x:v>
      </x:c>
      <x:c r="C176" s="29" t="str">
        <x:v>Original vendor/source fields; active estimate and missing specifications remain on PCB.</x:v>
      </x:c>
    </x:row>
    <x:row r="177" ht="208" customHeight="1">
      <x:c r="A177" s="29" t="str">
        <x:v>58: U6</x:v>
      </x:c>
      <x:c r="B177" s="29" t="str">
        <x:v>status: Vendor BOM; package and tolerance still require confirmation
unit_price: 24
source: NTHU_TEST_BOARD_BOM.docx vendor table row 58
source_ids: ["vendor_BOM","schematic","TI_LP5907"]
per_reference: []
orderability: identified_part_pending_assembly_verification
details: {"spec_en":"TI LP5907MFX-3.3/NOPB; fixed 3.3 V, 250 mA device capability; 5-pin SOT-23 (DBV).","purpose_en":"Generates 3V3_ANA from 5V for the analog front end, ADC analog supply and reference IC; EN is tied to input.","missing_en":"Verify effective C19/C20 capacitance, stability, dissipation and footprint; the 250 mA rating is not a whole-system validation result."}
original_source: NTHU_TEST_BOARD_BOM.docx vendor table row 58</x:v>
      </x:c>
      <x:c r="C177" s="29" t="str">
        <x:v>Original vendor/source fields; active estimate and missing specifications remain on PCB.</x:v>
      </x:c>
    </x:row>
    <x:row r="178" ht="208" customHeight="1">
      <x:c r="A178" s="29" t="str">
        <x:v>59: U7</x:v>
      </x:c>
      <x:c r="B178" s="29" t="str">
        <x:v>status: Vendor BOM; package and tolerance still require confirmation
unit_price: 628
source: NTHU_TEST_BOARD_BOM.docx vendor table row 59
source_ids: ["vendor_BOM","schematic","ADI_LTC6655"]
per_reference: []
orderability: identified_part_pending_assembly_verification
details: {"spec_en":"Analog Devices LTC6655BHMS8-2.5#PBF; 2.5 V output, 8-pin MSOP.","purpose_en":"Generates VREF_2V5 from 3V3_ANA for U9; SHDN is pulled up by R28 and output force/sense pins are joined in the schematic.","missing_en":"Verify C22/C23 type, load/stability, layout and measured ADC reference voltage; nominal 2.5 V is not a calibrated measurement."}
original_source: NTHU_TEST_BOARD_BOM.docx vendor table row 59</x:v>
      </x:c>
      <x:c r="C178" s="29" t="str">
        <x:v>Original vendor/source fields; active estimate and missing specifications remain on PCB.</x:v>
      </x:c>
    </x:row>
    <x:row r="179" ht="208" customHeight="1">
      <x:c r="A179" s="29" t="str">
        <x:v>60: U8</x:v>
      </x:c>
      <x:c r="B179" s="29" t="str">
        <x:v>status: Vendor BOM; package and tolerance still require confirmation
unit_price: 226
source: NTHU_TEST_BOARD_BOM.docx vendor table row 60
source_ids: ["vendor_BOM","schematic","TI_LMP7721"]
per_reference: []
orderability: identified_part_pending_assembly_verification
details: {"spec_en":"TI LMP7721; single amplifier, 8-pin SOIC (D), 1.8–5.5 V supply range.","purpose_en":"U8 reads D5 using R27=100 MΩ / C21=2.2 pF transimpedance feedback; its non-inverting input is grounded and supply is filtered by R31/C25/C26.","missing_en":"Confirm full ordering suffix, package, low-leakage layout/cleanliness, stability and near-ground output range; this BOM is not TIA performance validation."}
original_source: NTHU_TEST_BOARD_BOM.docx vendor table row 60</x:v>
      </x:c>
      <x:c r="C179" s="29" t="str">
        <x:v>Original vendor/source fields; active estimate and missing specifications remain on PCB.</x:v>
      </x:c>
    </x:row>
    <x:row r="180" ht="208" customHeight="1">
      <x:c r="A180" s="29" t="str">
        <x:v>61: U9</x:v>
      </x:c>
      <x:c r="B180" s="29" t="str">
        <x:v>status: Vendor BOM; package and tolerance still require confirmation
unit_price: 306
source: NTHU_TEST_BOARD_BOM.docx vendor table row 61
source_ids: ["vendor_BOM","schematic","TI_ADS8866"]
per_reference: []
orderability: identified_part_pending_assembly_verification
details: {"spec_en":"TI ADS8866IDGS; 16-bit, 100 kSPS device limit, 10-pin VSSOP (DGS); external reference.","purpose_en":"Samples TIA output; AVDD=3V3_ANA, DVDD=3V3_DIG, REF=VREF_2V5; SCLK/DOUT/CONVST interface to ESP32.","missing_en":"Verify actual sampling/timing, input settling/noise and reference/supply decoupling; 100 kSPS is not verified current firmware performance."}
original_source: NTHU_TEST_BOARD_BOM.docx vendor table row 61</x:v>
      </x:c>
      <x:c r="C180" s="29" t="str">
        <x:v>Original vendor/source fields; active estimate and missing specifications remain on PCB.</x:v>
      </x:c>
    </x:row>
    <x:row r="181" ht="30" customHeight="1">
      <x:c r="A181" s="36" t="str">
        <x:v>Print geometry and file identity</x:v>
      </x:c>
      <x:c r="B181" s="36" t="str"/>
      <x:c r="C181" s="36" t="str"/>
    </x:row>
    <x:row r="182" ht="110" customHeight="1">
      <x:c r="A182" s="29" t="str">
        <x:v>01_base_BLACK.stl</x:v>
      </x:c>
      <x:c r="B182" s="29" t="str">
        <x:v>Batch: P1
Triangles: 7248; connected components: 1; watertight edges: true
Mesh volume: 78.13914674155713 cm3
Assembly minimum: -54, -56, 0 mm
Assembly maximum: 54, 52, 43.29999923706055 mm
Size: 108, 108, 43.29999923706055 mm
Degenerate triangles removed in original export: 0</x:v>
      </x:c>
      <x:c r="C182" s="29" t="str">
        <x:v>SHA256: dd90fa4a126e02d6523114ea447e4f24aaf27826d7a456a111bd6cf6feee2b22</x:v>
      </x:c>
    </x:row>
    <x:row r="183" ht="110" customHeight="1">
      <x:c r="A183" s="29" t="str">
        <x:v>02_black_hood_BLACK.stl</x:v>
      </x:c>
      <x:c r="B183" s="29" t="str">
        <x:v>Batch: P2
Triangles: 1976; connected components: 1; watertight edges: true
Mesh volume: 28.76661897830055 cm3
Assembly minimum: -54, -56, 40.79999923706055 mm
Assembly maximum: 54, 52, 64 mm
Size: 108, 108, 23.200000762939453 mm
Degenerate triangles removed in original export: 0</x:v>
      </x:c>
      <x:c r="C183" s="29" t="str">
        <x:v>SHA256: c45b0cded88cfa45070e5f04c933d58ffb0aead62d7ea7d8899ca5c906f7f557</x:v>
      </x:c>
    </x:row>
    <x:row r="184" ht="110" customHeight="1">
      <x:c r="A184" s="29" t="str">
        <x:v>03_gas_lid_BLACK.stl</x:v>
      </x:c>
      <x:c r="B184" s="29" t="str">
        <x:v>Batch: P2
Triangles: 3372; connected components: 1; watertight edges: true
Mesh volume: 29.53238239220095 cm3
Assembly minimum: -54, -56, 57.900001525878906 mm
Assembly maximum: 54, 52, 66 mm
Size: 108, 108, 8.099998474121094 mm
Degenerate triangles removed in original export: 2</x:v>
      </x:c>
      <x:c r="C184" s="29" t="str">
        <x:v>SHA256: eb1af20eb3458d72ddc2b2a70a6b206e97616f6d677a2dc703a870ec99c691dd</x:v>
      </x:c>
    </x:row>
    <x:row r="185" ht="110" customHeight="1">
      <x:c r="A185" s="29" t="str">
        <x:v>04_well_NE_CLEAR.stl</x:v>
      </x:c>
      <x:c r="B185" s="29" t="str">
        <x:v>Batch: P3
Triangles: 40; connected components: 1; watertight edges: true
Mesh volume: 0.11564499290465757 cm3
Assembly minimum: 0.7999992370605469, 0.75, 42.5 mm
Assembly maximum: 6.5, 5.25, 55.5 mm
Size: 5.700000762939453, 4.5, 13 mm
Degenerate triangles removed in original export: 0</x:v>
      </x:c>
      <x:c r="C185" s="29" t="str">
        <x:v>SHA256: b349bc6ee902d8bdb5c7e42d39c7ebe928e01e4c2a883a2d869645bee29c86c7</x:v>
      </x:c>
    </x:row>
    <x:row r="186" ht="110" customHeight="1">
      <x:c r="A186" s="29" t="str">
        <x:v>05_well_NW_CLEAR.stl</x:v>
      </x:c>
      <x:c r="B186" s="29" t="str">
        <x:v>Batch: P3
Triangles: 40; connected components: 1; watertight edges: true
Mesh volume: 0.1156449929046576 cm3
Assembly minimum: -6.5, 0.75, 42.5 mm
Assembly maximum: -0.7999992370605469, 5.25, 55.5 mm
Size: 5.700000762939453, 4.5, 13 mm
Degenerate triangles removed in original export: 0</x:v>
      </x:c>
      <x:c r="C186" s="29" t="str">
        <x:v>SHA256: c4d0085d0fd145611bef334bfc3ec3b513f1340f9608a29822ac0ccd709bb790</x:v>
      </x:c>
    </x:row>
    <x:row r="187" ht="110" customHeight="1">
      <x:c r="A187" s="29" t="str">
        <x:v>06_well_SW_CLEAR.stl</x:v>
      </x:c>
      <x:c r="B187" s="29" t="str">
        <x:v>Batch: P3
Triangles: 40; connected components: 1; watertight edges: true
Mesh volume: 0.11564499290465756 cm3
Assembly minimum: -6.5, -5.25, 42.5 mm
Assembly maximum: -0.7999992370605469, -0.75, 55.5 mm
Size: 5.700000762939453, 4.5, 13 mm
Degenerate triangles removed in original export: 0</x:v>
      </x:c>
      <x:c r="C187" s="29" t="str">
        <x:v>SHA256: fec68336b7a5b404f66f46e0a54f6d66ed84ff590e85e4793ce028ff90a10fb2</x:v>
      </x:c>
    </x:row>
    <x:row r="188" ht="110" customHeight="1">
      <x:c r="A188" s="29" t="str">
        <x:v>07_well_SE_CLEAR.stl</x:v>
      </x:c>
      <x:c r="B188" s="29" t="str">
        <x:v>Batch: P3
Triangles: 40; connected components: 1; watertight edges: true
Mesh volume: 0.11564499290465757 cm3
Assembly minimum: 0.7999992370605469, -5.25, 42.5 mm
Assembly maximum: 6.5, -0.75, 55.5 mm
Size: 5.700000762939453, 4.5, 13 mm
Degenerate triangles removed in original export: 0</x:v>
      </x:c>
      <x:c r="C188" s="29" t="str">
        <x:v>SHA256: 64930ddaca73a7cfd28599e3525a9e77f26db9e8bbb255e126343b579945a363</x:v>
      </x:c>
    </x:row>
    <x:row r="189" ht="110" customHeight="1">
      <x:c r="A189" s="29" t="str">
        <x:v>08_gas_compression_plate_B
LACK.stl</x:v>
      </x:c>
      <x:c r="B189" s="29" t="str">
        <x:v>Batch: P2
Triangles: 92; connected components: 1; watertight edges: true
Mesh volume: 0.37824025512696247 cm3
Assembly minimum: -10, -9, 56.099998474121094 mm
Assembly maximum: 10, 9, 57.29999923706055 mm
Size: 20, 18, 1.2000007629394531 mm
Degenerate triangles removed in original export: 0</x:v>
      </x:c>
      <x:c r="C189" s="29" t="str">
        <x:v>SHA256: 8255ef667a516ba1fd46389974d341523e5bcee4bc5f81e6805fa2f3b864ef64</x:v>
      </x:c>
    </x:row>
    <x:row r="190" ht="28" customHeight="1">
      <x:c r="A190" s="29" t="str">
        <x:v>01_base_BLACK.ctb</x:v>
      </x:c>
      <x:c r="B190" s="29" t="str">
        <x:v>Sliced print file. Retained bytes match the source file before folder consolidation.</x:v>
      </x:c>
      <x:c r="C190" s="29" t="str">
        <x:v>SHA256: 1d05971e924c78ade7c83b0acae26120e2dddff5b3b52b35064b252af4ad474b</x:v>
      </x:c>
    </x:row>
    <x:row r="191" ht="28" customHeight="1">
      <x:c r="A191" s="29" t="str">
        <x:v>020308_parts.ctb</x:v>
      </x:c>
      <x:c r="B191" s="29" t="str">
        <x:v>Sliced print file. Retained bytes match the source file before folder consolidation.</x:v>
      </x:c>
      <x:c r="C191" s="29" t="str">
        <x:v>SHA256: f76017570fd0f2680b0245193d79bfe6ccc4f6919abb938166f5a0cc9a814a6e</x:v>
      </x:c>
    </x:row>
    <x:row r="192" ht="28" customHeight="1">
      <x:c r="A192" s="29" t="str">
        <x:v>0407_wells.ctb</x:v>
      </x:c>
      <x:c r="B192" s="29" t="str">
        <x:v>Sliced print file. Retained bytes match the source file before folder consolidation.</x:v>
      </x:c>
      <x:c r="C192" s="29" t="str">
        <x:v>SHA256: cec360f96ba4704f76ac404b8af52bdb09c2033c37464cb0cb0512ec80cab98d</x:v>
      </x:c>
    </x:row>
    <x:row r="193" ht="30" customHeight="1">
      <x:c r="A193" s="36" t="str">
        <x:v>Pricing policy</x:v>
      </x:c>
      <x:c r="B193" s="36" t="str"/>
      <x:c r="C193" s="36" t="str"/>
    </x:row>
    <x:row r="194" ht="28" customHeight="1">
      <x:c r="A194" s="29" t="str">
        <x:v>quantity_basis</x:v>
      </x:c>
      <x:c r="B194" s="29" t="str">
        <x:v>Small-quantity retail; listings, proxies and allowances explicitly distinguished</x:v>
      </x:c>
      <x:c r="C194" s="29" t="str"/>
    </x:row>
    <x:row r="195" ht="28" customHeight="1">
      <x:c r="A195" s="29" t="str">
        <x:v>tax_shipping</x:v>
      </x:c>
      <x:c r="B195" s="29" t="str">
        <x:v>Shipping, import duties and taxes not included unless source explicitly states included</x:v>
      </x:c>
      <x:c r="C195" s="29" t="str"/>
    </x:row>
    <x:row r="196" ht="28" customHeight="1">
      <x:c r="A196" s="29" t="str">
        <x:v>PCBA</x:v>
      </x:c>
      <x:c r="B196" s="29" t="str">
        <x:v>Use quoted allocation once; do not add PCB component estimate again</x:v>
      </x:c>
      <x:c r="C196" s="29" t="str"/>
    </x:row>
    <x:row r="197" ht="28" customHeight="1">
      <x:c r="A197" s="29" t="str">
        <x:v>printing</x:v>
      </x:c>
      <x:c r="B197" s="29" t="str">
        <x:v>Preserve user formula and source amounts; no extra bottle cost or machine charge added</x:v>
      </x:c>
      <x:c r="C197" s="29" t="str"/>
    </x:row>
    <x:row r="198" ht="28" customHeight="1">
      <x:c r="A198" s="29" t="str">
        <x:v>future</x:v>
      </x:c>
      <x:c r="B198" s="29" t="str">
        <x:v>Excluded from current device and development totals</x:v>
      </x:c>
      <x:c r="C198" s="29" t="str"/>
    </x:row>
    <x:row r="199" ht="28" customHeight="1">
      <x:c r="A199" s="29" t="str">
        <x:v>missing</x:v>
      </x:c>
      <x:c r="B199" s="29" t="str">
        <x:v>Unidentified U3 not assigned a false price; custom optical filter not order-ready</x:v>
      </x:c>
      <x:c r="C199" s="29" t="str"/>
    </x:row>
    <x:row r="200" ht="28" customHeight="1">
      <x:c r="A200" s="29" t="str">
        <x:v>owned</x:v>
      </x:c>
      <x:c r="B200" s="29" t="str">
        <x:v>owned_qty editable. Borrowed items can reduce new purchase budget without making material value zero.</x:v>
      </x:c>
      <x:c r="C200" s="29" t="str"/>
    </x:row>
    <x:row r="201" ht="40" customHeight="1">
      <x:c r="A201" s="29" t="str">
        <x:v>PCB quote scope</x:v>
      </x:c>
      <x:c r="B201" s="29" t="str">
        <x:v>User quotation including design and setup; per-board allocation is not repeat-production pricing</x:v>
      </x:c>
      <x:c r="C201" s="29" t="str">
        <x:v>Original source quotation: NTD 131250 for 2 boards. English allocation is converted to USD.</x:v>
      </x:c>
    </x:row>
    <x:row r="202" ht="40" customHeight="1">
      <x:c r="A202" s="29" t="str">
        <x:v>FX source record</x:v>
      </x:c>
      <x:c r="B202" s="29" t="str">
        <x:v>31.805 NTD per USD; source date 2026-10-05 15:13; recorded 2026-10-08.
Bank of Taiwan displayed USD spot selling snapshot; comparison and budgeting only</x:v>
      </x:c>
      <x:c r="C202" s="29" t="str">
        <x:v>https://www.bot.com.tw/tw/personal-banking/foreign-exchange</x:v>
      </x:c>
    </x:row>
    <x:row r="203" ht="30" customHeight="1">
      <x:c r="A203" s="36" t="str">
        <x:v>Historical verification record</x:v>
      </x:c>
      <x:c r="B203" s="36" t="str"/>
      <x:c r="C203" s="36" t="str"/>
    </x:row>
    <x:row r="204" ht="40" customHeight="1">
      <x:c r="A204" s="29" t="str">
        <x:v>Scope</x:v>
      </x:c>
      <x:c r="B204" s="29" t="str">
        <x:v>The fields below describe the earlier published workbook, before this consolidation. Prior hashes identify that earlier version. They do not claim a native Excel run.</x:v>
      </x:c>
      <x:c r="C204" s="29" t="str"/>
    </x:row>
    <x:row r="205" ht="28" customHeight="1">
      <x:c r="A205" s="29" t="str">
        <x:v>date</x:v>
      </x:c>
      <x:c r="B205" s="29" t="str">
        <x:v>2026-10-11</x:v>
      </x:c>
      <x:c r="C205" s="29" t="str">
        <x:v>Previous validation record.</x:v>
      </x:c>
    </x:row>
    <x:row r="206" ht="28" customHeight="1">
      <x:c r="A206" s="29" t="str">
        <x:v>currency</x:v>
      </x:c>
      <x:c r="B206" s="29" t="str">
        <x:v>USD</x:v>
      </x:c>
      <x:c r="C206" s="29" t="str">
        <x:v>Previous validation record.</x:v>
      </x:c>
    </x:row>
    <x:row r="207" ht="28" customHeight="1">
      <x:c r="A207" s="29" t="str">
        <x:v>conversion_NTD_per_USD</x:v>
      </x:c>
      <x:c r="B207" s="29" t="str">
        <x:v>31.805</x:v>
      </x:c>
      <x:c r="C207" s="29" t="str">
        <x:v>Previous validation record.</x:v>
      </x:c>
    </x:row>
    <x:row r="208" ht="28" customHeight="1">
      <x:c r="A208" s="29" t="str">
        <x:v>conversion_source_date</x:v>
      </x:c>
      <x:c r="B208" s="29" t="str">
        <x:v>2026-10-05 15:13</x:v>
      </x:c>
      <x:c r="C208" s="29" t="str">
        <x:v>Previous validation record.</x:v>
      </x:c>
    </x:row>
    <x:row r="209" ht="40" customHeight="1">
      <x:c r="A209" s="29" t="str">
        <x:v>conversion_policy</x:v>
      </x:c>
      <x:c r="B209" s="29" t="str">
        <x:v>Fixed converted USD budget inputs. Source NTD appears only in provenance notes; input/quantity formulas are in USD. No live FX refresh claimed.</x:v>
      </x:c>
      <x:c r="C209" s="29" t="str">
        <x:v>Previous validation record.</x:v>
      </x:c>
    </x:row>
    <x:row r="210" ht="28" customHeight="1">
      <x:c r="A210" s="29" t="str">
        <x:v>formula_engine</x:v>
      </x:c>
      <x:c r="B210" s="29" t="str">
        <x:v>artifact-tool</x:v>
      </x:c>
      <x:c r="C210" s="29" t="str">
        <x:v>Previous validation record.</x:v>
      </x:c>
    </x:row>
    <x:row r="211" ht="40" customHeight="1">
      <x:c r="A211" s="29" t="str">
        <x:v>native_Excel_execution_ver
ified</x:v>
      </x:c>
      <x:c r="B211" s="29" t="str">
        <x:v>false</x:v>
      </x:c>
      <x:c r="C211" s="29" t="str">
        <x:v>Previous validation record.</x:v>
      </x:c>
    </x:row>
    <x:row r="212" ht="28" customHeight="1">
      <x:c r="A212" s="29" t="str">
        <x:v>print_count</x:v>
      </x:c>
      <x:c r="B212" s="29" t="str">
        <x:v>8</x:v>
      </x:c>
      <x:c r="C212" s="29" t="str">
        <x:v>Previous validation record.</x:v>
      </x:c>
    </x:row>
    <x:row r="213" ht="28" customHeight="1">
      <x:c r="A213" s="29" t="str">
        <x:v>PCB_rows</x:v>
      </x:c>
      <x:c r="B213" s="29" t="str">
        <x:v>61</x:v>
      </x:c>
      <x:c r="C213" s="29" t="str">
        <x:v>Previous validation record.</x:v>
      </x:c>
    </x:row>
    <x:row r="214" ht="28" customHeight="1">
      <x:c r="A214" s="29" t="str">
        <x:v>purchase_rows</x:v>
      </x:c>
      <x:c r="B214" s="29" t="str">
        <x:v>26</x:v>
      </x:c>
      <x:c r="C214" s="29" t="str">
        <x:v>Previous validation record.</x:v>
      </x:c>
    </x:row>
    <x:row r="215" ht="28" customHeight="1">
      <x:c r="A215" s="29" t="str">
        <x:v>required_rows</x:v>
      </x:c>
      <x:c r="B215" s="29" t="str">
        <x:v>13</x:v>
      </x:c>
      <x:c r="C215" s="29" t="str">
        <x:v>Previous validation record.</x:v>
      </x:c>
    </x:row>
    <x:row r="216" ht="28" customHeight="1">
      <x:c r="A216" s="29" t="str">
        <x:v>developer_rows</x:v>
      </x:c>
      <x:c r="B216" s="29" t="str">
        <x:v>10</x:v>
      </x:c>
      <x:c r="C216" s="29" t="str">
        <x:v>Previous validation record.</x:v>
      </x:c>
    </x:row>
    <x:row r="217" ht="28" customHeight="1">
      <x:c r="A217" s="29" t="str">
        <x:v>future_rows</x:v>
      </x:c>
      <x:c r="B217" s="29" t="str">
        <x:v>3</x:v>
      </x:c>
      <x:c r="C217" s="29" t="str">
        <x:v>Previous validation record.</x:v>
      </x:c>
    </x:row>
    <x:row r="218" ht="28" customHeight="1">
      <x:c r="A218" s="29" t="str">
        <x:v>calculated_print_total_USD</x:v>
      </x:c>
      <x:c r="B218" s="29" t="str">
        <x:v>35.06950479484358</x:v>
      </x:c>
      <x:c r="C218" s="29" t="str">
        <x:v>Previous validation record.</x:v>
      </x:c>
    </x:row>
    <x:row r="219" ht="40" customHeight="1">
      <x:c r="A219" s="29" t="str">
        <x:v>required_purchases_used_US
D</x:v>
      </x:c>
      <x:c r="B219" s="29" t="str">
        <x:v>412.9352365980192</x:v>
      </x:c>
      <x:c r="C219" s="29" t="str">
        <x:v>Previous validation record.</x:v>
      </x:c>
    </x:row>
    <x:row r="220" ht="28" customHeight="1">
      <x:c r="A220" s="29" t="str">
        <x:v>required_nonPCB_USD</x:v>
      </x:c>
      <x:c r="B220" s="29" t="str">
        <x:v>448.00474139286274</x:v>
      </x:c>
      <x:c r="C220" s="29" t="str">
        <x:v>Previous validation record.</x:v>
      </x:c>
    </x:row>
    <x:row r="221" ht="28" customHeight="1">
      <x:c r="A221" s="29" t="str">
        <x:v>PCB_quote_total_USD</x:v>
      </x:c>
      <x:c r="B221" s="29" t="str">
        <x:v>4126.709636849552</x:v>
      </x:c>
      <x:c r="C221" s="29" t="str">
        <x:v>Previous validation record.</x:v>
      </x:c>
    </x:row>
    <x:row r="222" ht="28" customHeight="1">
      <x:c r="A222" s="29" t="str">
        <x:v>PCB_allocation_USD</x:v>
      </x:c>
      <x:c r="B222" s="29" t="str">
        <x:v>2063.354818424776</x:v>
      </x:c>
      <x:c r="C222" s="29" t="str">
        <x:v>Previous validation record.</x:v>
      </x:c>
    </x:row>
    <x:row r="223" ht="28" customHeight="1">
      <x:c r="A223" s="29" t="str">
        <x:v>required_budget_USD</x:v>
      </x:c>
      <x:c r="B223" s="29" t="str">
        <x:v>2511.359559817639</x:v>
      </x:c>
      <x:c r="C223" s="29" t="str">
        <x:v>Previous validation record.</x:v>
      </x:c>
    </x:row>
    <x:row r="224" ht="28" customHeight="1">
      <x:c r="A224" s="29" t="str">
        <x:v>required_new_packs_USD</x:v>
      </x:c>
      <x:c r="B224" s="29" t="str">
        <x:v>512.5122056280459</x:v>
      </x:c>
      <x:c r="C224" s="29" t="str">
        <x:v>Previous validation record.</x:v>
      </x:c>
    </x:row>
    <x:row r="225" ht="28" customHeight="1">
      <x:c r="A225" s="29" t="str">
        <x:v>developer_budget_USD</x:v>
      </x:c>
      <x:c r="B225" s="29" t="str">
        <x:v>1214.0286983178744</x:v>
      </x:c>
      <x:c r="C225" s="29" t="str">
        <x:v>Previous validation record.</x:v>
      </x:c>
    </x:row>
    <x:row r="226" ht="28" customHeight="1">
      <x:c r="A226" s="29" t="str">
        <x:v>developer_new_packs_USD</x:v>
      </x:c>
      <x:c r="B226" s="29" t="str">
        <x:v>1214.0286983178744</x:v>
      </x:c>
      <x:c r="C226" s="29" t="str">
        <x:v>Previous validation record.</x:v>
      </x:c>
    </x:row>
    <x:row r="227" ht="28" customHeight="1">
      <x:c r="A227" s="29" t="str">
        <x:v>future_budget_USD</x:v>
      </x:c>
      <x:c r="B227" s="29" t="str">
        <x:v>235.8119792485458</x:v>
      </x:c>
      <x:c r="C227" s="29" t="str">
        <x:v>Previous validation record.</x:v>
      </x:c>
    </x:row>
    <x:row r="228" ht="28" customHeight="1">
      <x:c r="A228" s="29" t="str">
        <x:v>PCB_priced_materials_USD</x:v>
      </x:c>
      <x:c r="B228" s="29" t="str">
        <x:v>61.436880993554496</x:v>
      </x:c>
      <x:c r="C228" s="29" t="str">
        <x:v>Previous validation record.</x:v>
      </x:c>
    </x:row>
    <x:row r="229" ht="28" customHeight="1">
      <x:c r="A229" s="29" t="str">
        <x:v>PCB_unpriced_rows</x:v>
      </x:c>
      <x:c r="B229" s="29" t="str">
        <x:v>1</x:v>
      </x:c>
      <x:c r="C229" s="29" t="str">
        <x:v>Previous validation record.</x:v>
      </x:c>
    </x:row>
    <x:row r="230" ht="28" customHeight="1">
      <x:c r="A230" s="29" t="str">
        <x:v>complete_cost</x:v>
      </x:c>
      <x:c r="B230" s="29" t="str">
        <x:v>Not order-ready; proxies and allowances included</x:v>
      </x:c>
      <x:c r="C230" s="29" t="str">
        <x:v>Previous validation record.</x:v>
      </x:c>
    </x:row>
    <x:row r="231" ht="40" customHeight="1">
      <x:c r="A231" s="29" t="str">
        <x:v>formula_total_matches_inde
pendent_calculation</x:v>
      </x:c>
      <x:c r="B231" s="29" t="str">
        <x:v>true</x:v>
      </x:c>
      <x:c r="C231" s="29" t="str">
        <x:v>Previous validation record.</x:v>
      </x:c>
    </x:row>
    <x:row r="232" ht="28" customHeight="1">
      <x:c r="A232" s="29" t="str">
        <x:v>blank_vs_zero_test_passed</x:v>
      </x:c>
      <x:c r="B232" s="29" t="str">
        <x:v>true</x:v>
      </x:c>
      <x:c r="C232" s="29" t="str">
        <x:v>Previous validation record.</x:v>
      </x:c>
    </x:row>
    <x:row r="233" ht="28" customHeight="1">
      <x:c r="A233" s="29" t="str">
        <x:v>pack_vs_usage_test_passed</x:v>
      </x:c>
      <x:c r="B233" s="29" t="str">
        <x:v>true</x:v>
      </x:c>
      <x:c r="C233" s="29" t="str">
        <x:v>Previous validation record.</x:v>
      </x:c>
    </x:row>
    <x:row r="234" ht="28" customHeight="1">
      <x:c r="A234" s="29" t="str">
        <x:v>owned_quantity_test_passed</x:v>
      </x:c>
      <x:c r="B234" s="29" t="str">
        <x:v>true</x:v>
      </x:c>
      <x:c r="C234" s="29" t="str">
        <x:v>Previous validation record.</x:v>
      </x:c>
    </x:row>
    <x:row r="235" ht="40" customHeight="1">
      <x:c r="A235" s="29" t="str">
        <x:v>USD_input_recalculation_pa
ssed</x:v>
      </x:c>
      <x:c r="B235" s="29" t="str">
        <x:v>true</x:v>
      </x:c>
      <x:c r="C235" s="29" t="str">
        <x:v>Previous validation record.</x:v>
      </x:c>
    </x:row>
    <x:row r="236" ht="28" customHeight="1">
      <x:c r="A236" s="29" t="str">
        <x:v>zero_pack_divisor_rejected</x:v>
      </x:c>
      <x:c r="B236" s="29" t="str">
        <x:v>true</x:v>
      </x:c>
      <x:c r="C236" s="29" t="str">
        <x:v>Previous validation record.</x:v>
      </x:c>
    </x:row>
    <x:row r="237" ht="28" customHeight="1">
      <x:c r="A237" s="29" t="str">
        <x:v>zero_PCB_divisor_rejected</x:v>
      </x:c>
      <x:c r="B237" s="29" t="str">
        <x:v>true</x:v>
      </x:c>
      <x:c r="C237" s="29" t="str">
        <x:v>Previous validation record.</x:v>
      </x:c>
    </x:row>
    <x:row r="238" ht="28" customHeight="1">
      <x:c r="A238" s="29" t="str">
        <x:v>missing_resin_rejected</x:v>
      </x:c>
      <x:c r="B238" s="29" t="str">
        <x:v>true</x:v>
      </x:c>
      <x:c r="C238" s="29" t="str">
        <x:v>Previous validation record.</x:v>
      </x:c>
    </x:row>
    <x:row r="239" ht="28" customHeight="1">
      <x:c r="A239" s="29" t="str">
        <x:v>printed_geometry_preserved</x:v>
      </x:c>
      <x:c r="B239" s="29" t="str">
        <x:v>true</x:v>
      </x:c>
      <x:c r="C239" s="29" t="str">
        <x:v>Previous validation record.</x:v>
      </x:c>
    </x:row>
    <x:row r="240" ht="28" customHeight="1">
      <x:c r="A240" s="29" t="str">
        <x:v>ZH_deliverables_unchanged</x:v>
      </x:c>
      <x:c r="B240" s="29" t="str">
        <x:v>true</x:v>
      </x:c>
      <x:c r="C240" s="29" t="str">
        <x:v>Previous validation record.</x:v>
      </x:c>
    </x:row>
    <x:row r="241" ht="28" customHeight="1">
      <x:c r="A241" s="29" t="str">
        <x:v>formula_error_scan</x:v>
      </x:c>
      <x:c r="B241" s="29" t="str">
        <x:v>{"kind":"notice","message":"Cell search matched 0 entries."}</x:v>
      </x:c>
      <x:c r="C241" s="29" t="str">
        <x:v>Previous validation record.</x:v>
      </x:c>
    </x:row>
    <x:row r="242" ht="28" customHeight="1">
      <x:c r="A242" s="29" t="str">
        <x:v>public_workbook_sha256</x:v>
      </x:c>
      <x:c r="B242" s="29" t="str">
        <x:v>8e6c482fc1ea55bad41929827f2f45c013c33a037fc3ca0d7844b90ac3ca0966</x:v>
      </x:c>
      <x:c r="C242" s="29" t="str">
        <x:v>Previous validation record.</x:v>
      </x:c>
    </x:row>
    <x:row r="243" ht="28" customHeight="1">
      <x:c r="A243" s="29" t="str">
        <x:v>visual_QA_passed</x:v>
      </x:c>
      <x:c r="B243" s="29" t="str">
        <x:v>true</x:v>
      </x:c>
      <x:c r="C243" s="29" t="str">
        <x:v>Previous validation record.</x:v>
      </x:c>
    </x:row>
    <x:row r="244" ht="28" customHeight="1">
      <x:c r="A244" s="29" t="str">
        <x:v>rendered_sheets</x:v>
      </x:c>
      <x:c r="B244" s="29" t="str">
        <x:v>4</x:v>
      </x:c>
      <x:c r="C244" s="29" t="str">
        <x:v>Previous validation record.</x:v>
      </x:c>
    </x:row>
    <x:row r="245" ht="54" customHeight="1">
      <x:c r="A245" s="29" t="str">
        <x:v>visual_QA</x:v>
      </x:c>
      <x:c r="B245" s="29" t="str">
        <x:v>Inspected all four affected views: USD Summary, Purchase price/quantity calculations, PCB price columns and print-batch calculations. Labels and prices are readable; no clipped costs or formula errors. Printed worksheet preserved. Native Excel execution is not claimed.</x:v>
      </x:c>
      <x:c r="C245" s="29" t="str">
        <x:v>Previous validation record.</x:v>
      </x:c>
    </x:row>
  </x:sheetData>
  <x:pageMargins left="0.7" right="0.7" top="0.75" bottom="0.75" header="0.3" footer="0.3"/>
</x:worksheet>
</file>