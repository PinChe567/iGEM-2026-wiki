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98FB64F-8E0C-4655-88D0-8CA976C2E5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" l="1"/>
  <c r="M53" i="1"/>
  <c r="K54" i="1"/>
  <c r="K55" i="1"/>
  <c r="K56" i="1"/>
  <c r="K57" i="1"/>
  <c r="K58" i="1"/>
  <c r="K59" i="1"/>
  <c r="K60" i="1"/>
  <c r="K61" i="1"/>
  <c r="K62" i="1"/>
  <c r="K63" i="1"/>
  <c r="K53" i="1"/>
  <c r="J54" i="1"/>
  <c r="J55" i="1"/>
  <c r="J56" i="1"/>
  <c r="J57" i="1"/>
  <c r="J58" i="1"/>
  <c r="J59" i="1"/>
  <c r="J60" i="1"/>
  <c r="J61" i="1"/>
  <c r="J62" i="1"/>
  <c r="J63" i="1"/>
  <c r="J53" i="1"/>
  <c r="J35" i="1"/>
  <c r="J45" i="1"/>
  <c r="J36" i="1"/>
  <c r="G36" i="1"/>
  <c r="G37" i="1"/>
  <c r="G38" i="1"/>
  <c r="G39" i="1"/>
  <c r="G40" i="1"/>
  <c r="G41" i="1"/>
  <c r="G42" i="1"/>
  <c r="G43" i="1"/>
  <c r="G44" i="1"/>
  <c r="G45" i="1"/>
  <c r="G35" i="1"/>
  <c r="G27" i="1"/>
  <c r="G18" i="1"/>
  <c r="G19" i="1"/>
  <c r="G20" i="1"/>
  <c r="G21" i="1"/>
  <c r="G22" i="1"/>
  <c r="G23" i="1"/>
  <c r="G24" i="1"/>
  <c r="G25" i="1"/>
  <c r="G26" i="1"/>
  <c r="G17" i="1"/>
  <c r="F53" i="1"/>
  <c r="L39" i="1"/>
  <c r="M39" i="1" s="1"/>
  <c r="O39" i="1" s="1"/>
  <c r="L37" i="1"/>
  <c r="L36" i="1"/>
  <c r="L34" i="1"/>
  <c r="L40" i="1"/>
  <c r="M40" i="1" s="1"/>
  <c r="O40" i="1" s="1"/>
  <c r="L41" i="1"/>
  <c r="L38" i="1"/>
  <c r="M38" i="1" s="1"/>
  <c r="O38" i="1" s="1"/>
  <c r="L42" i="1"/>
  <c r="L35" i="1"/>
  <c r="L43" i="1"/>
  <c r="D66" i="1"/>
  <c r="N45" i="1"/>
  <c r="P45" i="1" s="1"/>
  <c r="I54" i="1"/>
  <c r="I55" i="1"/>
  <c r="I56" i="1"/>
  <c r="I57" i="1"/>
  <c r="I58" i="1"/>
  <c r="I59" i="1"/>
  <c r="I60" i="1"/>
  <c r="I61" i="1"/>
  <c r="I62" i="1"/>
  <c r="I63" i="1"/>
  <c r="I53" i="1"/>
  <c r="H54" i="1"/>
  <c r="H55" i="1"/>
  <c r="H56" i="1"/>
  <c r="H57" i="1"/>
  <c r="H58" i="1"/>
  <c r="H59" i="1"/>
  <c r="H60" i="1"/>
  <c r="H61" i="1"/>
  <c r="H62" i="1"/>
  <c r="H63" i="1"/>
  <c r="H53" i="1"/>
  <c r="F54" i="1"/>
  <c r="F55" i="1"/>
  <c r="F56" i="1"/>
  <c r="F57" i="1"/>
  <c r="F58" i="1"/>
  <c r="F59" i="1"/>
  <c r="F60" i="1"/>
  <c r="F65" i="1" s="1"/>
  <c r="F61" i="1"/>
  <c r="F62" i="1"/>
  <c r="F63" i="1"/>
  <c r="D60" i="1"/>
  <c r="D61" i="1"/>
  <c r="D63" i="1"/>
  <c r="H65" i="1"/>
  <c r="H47" i="1"/>
  <c r="E36" i="1"/>
  <c r="D37" i="1"/>
  <c r="I47" i="1"/>
  <c r="F47" i="1"/>
  <c r="M45" i="1"/>
  <c r="O45" i="1" s="1"/>
  <c r="E45" i="1" s="1"/>
  <c r="N35" i="1"/>
  <c r="N36" i="1"/>
  <c r="P36" i="1" s="1"/>
  <c r="D19" i="1" s="1"/>
  <c r="N37" i="1"/>
  <c r="P37" i="1" s="1"/>
  <c r="D20" i="1" s="1"/>
  <c r="N38" i="1"/>
  <c r="P38" i="1" s="1"/>
  <c r="D21" i="1" s="1"/>
  <c r="N39" i="1"/>
  <c r="P39" i="1" s="1"/>
  <c r="D22" i="1" s="1"/>
  <c r="N41" i="1"/>
  <c r="P41" i="1" s="1"/>
  <c r="D24" i="1" s="1"/>
  <c r="N42" i="1"/>
  <c r="P42" i="1" s="1"/>
  <c r="D25" i="1" s="1"/>
  <c r="N43" i="1"/>
  <c r="P43" i="1" s="1"/>
  <c r="D26" i="1" s="1"/>
  <c r="N34" i="1"/>
  <c r="P34" i="1" s="1"/>
  <c r="D17" i="1" s="1"/>
  <c r="M35" i="1"/>
  <c r="O35" i="1" s="1"/>
  <c r="D54" i="1" s="1"/>
  <c r="M36" i="1"/>
  <c r="O36" i="1" s="1"/>
  <c r="M37" i="1"/>
  <c r="O37" i="1" s="1"/>
  <c r="D56" i="1" s="1"/>
  <c r="M41" i="1"/>
  <c r="O41" i="1" s="1"/>
  <c r="D42" i="1" s="1"/>
  <c r="M42" i="1"/>
  <c r="O42" i="1" s="1"/>
  <c r="D43" i="1" s="1"/>
  <c r="M43" i="1"/>
  <c r="O43" i="1" s="1"/>
  <c r="D44" i="1" s="1"/>
  <c r="M34" i="1"/>
  <c r="O34" i="1" s="1"/>
  <c r="D35" i="1" s="1"/>
  <c r="P35" i="1"/>
  <c r="D18" i="1" s="1"/>
  <c r="F29" i="1"/>
  <c r="H29" i="1"/>
  <c r="I29" i="1"/>
  <c r="E43" i="1" l="1"/>
  <c r="J43" i="1" s="1"/>
  <c r="E42" i="1"/>
  <c r="J42" i="1" s="1"/>
  <c r="E39" i="1"/>
  <c r="J39" i="1" s="1"/>
  <c r="E44" i="1"/>
  <c r="J44" i="1" s="1"/>
  <c r="E41" i="1"/>
  <c r="J41" i="1" s="1"/>
  <c r="E38" i="1"/>
  <c r="J38" i="1" s="1"/>
  <c r="E37" i="1"/>
  <c r="J37" i="1" s="1"/>
  <c r="G60" i="1"/>
  <c r="E35" i="1"/>
  <c r="E25" i="1"/>
  <c r="E59" i="1"/>
  <c r="E57" i="1"/>
  <c r="E53" i="1"/>
  <c r="E62" i="1"/>
  <c r="E61" i="1"/>
  <c r="E58" i="1"/>
  <c r="E56" i="1"/>
  <c r="E55" i="1"/>
  <c r="E54" i="1"/>
  <c r="E60" i="1"/>
  <c r="E63" i="1"/>
  <c r="D40" i="1"/>
  <c r="D58" i="1"/>
  <c r="D38" i="1"/>
  <c r="D55" i="1"/>
  <c r="D53" i="1"/>
  <c r="D41" i="1"/>
  <c r="N40" i="1"/>
  <c r="P40" i="1" s="1"/>
  <c r="D23" i="1" s="1"/>
  <c r="D39" i="1"/>
  <c r="D57" i="1"/>
  <c r="D62" i="1"/>
  <c r="D36" i="1"/>
  <c r="I65" i="1"/>
  <c r="E40" i="1"/>
  <c r="E21" i="1"/>
  <c r="J21" i="1" s="1"/>
  <c r="E24" i="1"/>
  <c r="J24" i="1" s="1"/>
  <c r="E22" i="1"/>
  <c r="J22" i="1" s="1"/>
  <c r="E18" i="1"/>
  <c r="J18" i="1" s="1"/>
  <c r="E23" i="1"/>
  <c r="J23" i="1" s="1"/>
  <c r="E20" i="1"/>
  <c r="J20" i="1" s="1"/>
  <c r="E27" i="1"/>
  <c r="E19" i="1"/>
  <c r="E26" i="1"/>
  <c r="J26" i="1" s="1"/>
  <c r="E17" i="1"/>
  <c r="J17" i="1" s="1"/>
  <c r="D29" i="1"/>
  <c r="G63" i="1" l="1"/>
  <c r="J27" i="1"/>
  <c r="G55" i="1"/>
  <c r="J19" i="1"/>
  <c r="E47" i="1"/>
  <c r="J40" i="1"/>
  <c r="G61" i="1"/>
  <c r="J25" i="1"/>
  <c r="G62" i="1"/>
  <c r="G57" i="1"/>
  <c r="G59" i="1"/>
  <c r="E65" i="1"/>
  <c r="G56" i="1"/>
  <c r="G54" i="1"/>
  <c r="G58" i="1"/>
  <c r="E29" i="1"/>
  <c r="G53" i="1"/>
  <c r="D59" i="1"/>
  <c r="D65" i="1" s="1"/>
  <c r="D47" i="1"/>
  <c r="G65" i="1" l="1"/>
  <c r="G47" i="1"/>
  <c r="G29" i="1"/>
</calcChain>
</file>

<file path=xl/sharedStrings.xml><?xml version="1.0" encoding="utf-8"?>
<sst xmlns="http://schemas.openxmlformats.org/spreadsheetml/2006/main" count="201" uniqueCount="71">
  <si>
    <t>DAPI</t>
    <phoneticPr fontId="1" type="noConversion"/>
  </si>
  <si>
    <t>G418</t>
    <phoneticPr fontId="1" type="noConversion"/>
  </si>
  <si>
    <t>氣味測試</t>
    <phoneticPr fontId="1" type="noConversion"/>
  </si>
  <si>
    <t>Or7a+ORCO</t>
  </si>
  <si>
    <t>Or7a+ORCO</t>
    <phoneticPr fontId="1" type="noConversion"/>
  </si>
  <si>
    <t>Or19a+ORCO</t>
  </si>
  <si>
    <t>Or19a+ORCO</t>
    <phoneticPr fontId="1" type="noConversion"/>
  </si>
  <si>
    <t>Or42a+ORCO</t>
  </si>
  <si>
    <t>Or42a+ORCO</t>
    <phoneticPr fontId="1" type="noConversion"/>
  </si>
  <si>
    <t>Or98a+ORCO</t>
  </si>
  <si>
    <t>Or98a+ORCO</t>
    <phoneticPr fontId="1" type="noConversion"/>
  </si>
  <si>
    <t>Or22a+ORCO</t>
  </si>
  <si>
    <t>Or22a+ORCO</t>
    <phoneticPr fontId="1" type="noConversion"/>
  </si>
  <si>
    <t>Or67a+ORCO</t>
  </si>
  <si>
    <t>Or67a+ORCO</t>
    <phoneticPr fontId="1" type="noConversion"/>
  </si>
  <si>
    <t>Or67b+ORCO</t>
  </si>
  <si>
    <t>Or67b+ORCO</t>
    <phoneticPr fontId="1" type="noConversion"/>
  </si>
  <si>
    <t>Or59b+ORCO</t>
  </si>
  <si>
    <t>Or59b+ORCO</t>
    <phoneticPr fontId="1" type="noConversion"/>
  </si>
  <si>
    <t>Or85b+ORCO</t>
  </si>
  <si>
    <t>Or85b+ORCO</t>
    <phoneticPr fontId="1" type="noConversion"/>
  </si>
  <si>
    <t>Or35a+ORCO</t>
  </si>
  <si>
    <t>Or35a+ORCO</t>
    <phoneticPr fontId="1" type="noConversion"/>
  </si>
  <si>
    <t>ORCO</t>
  </si>
  <si>
    <t>ORCO</t>
    <phoneticPr fontId="1" type="noConversion"/>
  </si>
  <si>
    <t>blank</t>
  </si>
  <si>
    <t>blank</t>
    <phoneticPr fontId="1" type="noConversion"/>
  </si>
  <si>
    <t>VUAA1</t>
    <phoneticPr fontId="1" type="noConversion"/>
  </si>
  <si>
    <t>ethyl propionate</t>
    <phoneticPr fontId="1" type="noConversion"/>
  </si>
  <si>
    <t>isopentyl acetate</t>
    <phoneticPr fontId="1" type="noConversion"/>
  </si>
  <si>
    <t>3-octanol</t>
    <phoneticPr fontId="1" type="noConversion"/>
  </si>
  <si>
    <t>benzaldehyde</t>
    <phoneticPr fontId="1" type="noConversion"/>
  </si>
  <si>
    <t>2-heptanone</t>
    <phoneticPr fontId="1" type="noConversion"/>
  </si>
  <si>
    <t>valeric acid</t>
    <phoneticPr fontId="1" type="noConversion"/>
  </si>
  <si>
    <t>HEPES</t>
    <phoneticPr fontId="1" type="noConversion"/>
  </si>
  <si>
    <t>Plasmid</t>
  </si>
  <si>
    <t>ng/µL</t>
  </si>
  <si>
    <t>24-well：333 ng</t>
  </si>
  <si>
    <t>Or19a</t>
  </si>
  <si>
    <t>Or7a</t>
  </si>
  <si>
    <t>Or98a</t>
  </si>
  <si>
    <t>Or42a</t>
  </si>
  <si>
    <t>Or22a</t>
  </si>
  <si>
    <t>Or67a</t>
  </si>
  <si>
    <t>Or67b</t>
  </si>
  <si>
    <t>Or59b</t>
  </si>
  <si>
    <t>Or85b</t>
  </si>
  <si>
    <t>Or35a</t>
  </si>
  <si>
    <t>96-well：66.7 ng</t>
    <phoneticPr fontId="1" type="noConversion"/>
  </si>
  <si>
    <t>Orco</t>
  </si>
  <si>
    <t>OR (uL)</t>
    <phoneticPr fontId="1" type="noConversion"/>
  </si>
  <si>
    <t>ORCO (uL)</t>
    <phoneticPr fontId="1" type="noConversion"/>
  </si>
  <si>
    <t>p3000 (uL)</t>
    <phoneticPr fontId="1" type="noConversion"/>
  </si>
  <si>
    <t>lip 3000 (uL)</t>
    <phoneticPr fontId="1" type="noConversion"/>
  </si>
  <si>
    <t>opti-mem (uL)</t>
    <phoneticPr fontId="1" type="noConversion"/>
  </si>
  <si>
    <t>total</t>
    <phoneticPr fontId="1" type="noConversion"/>
  </si>
  <si>
    <t>50 ul mix/well</t>
    <phoneticPr fontId="1" type="noConversion"/>
  </si>
  <si>
    <t>10 ul mix/well</t>
    <phoneticPr fontId="1" type="noConversion"/>
  </si>
  <si>
    <t>total DMEM</t>
    <phoneticPr fontId="1" type="noConversion"/>
  </si>
  <si>
    <t>96 well (uL)</t>
    <phoneticPr fontId="1" type="noConversion"/>
  </si>
  <si>
    <t>24 well (uL)</t>
    <phoneticPr fontId="1" type="noConversion"/>
  </si>
  <si>
    <t>24 well</t>
    <phoneticPr fontId="1" type="noConversion"/>
  </si>
  <si>
    <t>G418 keep</t>
    <phoneticPr fontId="1" type="noConversion"/>
  </si>
  <si>
    <t>x</t>
  </si>
  <si>
    <t>x</t>
    <phoneticPr fontId="1" type="noConversion"/>
  </si>
  <si>
    <t>96 well</t>
    <phoneticPr fontId="1" type="noConversion"/>
  </si>
  <si>
    <t>96 well + 24 well</t>
    <phoneticPr fontId="1" type="noConversion"/>
  </si>
  <si>
    <t>原500 ul/well</t>
    <phoneticPr fontId="1" type="noConversion"/>
  </si>
  <si>
    <t>原100 ul/well</t>
    <phoneticPr fontId="1" type="noConversion"/>
  </si>
  <si>
    <t>加 10 ul/well</t>
    <phoneticPr fontId="1" type="noConversion"/>
  </si>
  <si>
    <t>加 50 ul/well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</si>
</sst>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3" borderId="10" xfId="0" applyFill="1" applyBorder="1"/>
    <xf numFmtId="0" fontId="0" fillId="0" borderId="1" xfId="0" applyBorder="1"/>
    <xf numFmtId="0" fontId="0" fillId="2" borderId="12" xfId="0" applyFill="1" applyBorder="1" applyAlignment="1">
      <alignment vertical="center" wrapText="1"/>
    </xf>
    <xf numFmtId="0" fontId="0" fillId="2" borderId="12" xfId="0" applyFill="1" applyBorder="1"/>
    <xf numFmtId="0" fontId="0" fillId="5" borderId="0" xfId="0" applyFill="1"/>
    <xf numFmtId="0" fontId="0" fillId="4" borderId="0" xfId="0" applyFill="1"/>
    <xf numFmtId="0" fontId="0" fillId="4" borderId="6" xfId="0" applyFill="1" applyBorder="1"/>
    <xf numFmtId="0" fontId="0" fillId="6" borderId="10" xfId="0" applyFill="1" applyBorder="1"/>
    <xf numFmtId="0" fontId="0" fillId="6" borderId="11" xfId="0" applyFill="1" applyBorder="1"/>
    <xf numFmtId="0" fontId="0" fillId="7" borderId="8" xfId="0" applyFill="1" applyBorder="1"/>
    <xf numFmtId="0" fontId="0" fillId="7" borderId="9" xfId="0" applyFill="1" applyBorder="1"/>
    <xf numFmtId="0" fontId="0" fillId="8" borderId="13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176" fontId="0" fillId="5" borderId="0" xfId="0" applyNumberFormat="1" applyFill="1"/>
    <xf numFmtId="0" fontId="0" fillId="3" borderId="0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66"/>
  <sheetViews>
    <sheetView tabSelected="1" topLeftCell="B47" zoomScale="133" workbookViewId="0">
      <selection activeCell="K61" sqref="K61"/>
    </sheetView>
  </sheetViews>
  <sheetFormatPr defaultRowHeight="15" x14ac:dyDescent="0.45"/>
  <cols>
    <col min="2" max="2" width="10.28515625" bestFit="1" customWidth="1"/>
    <col min="3" max="3" width="12.92578125" bestFit="1" customWidth="1"/>
    <col min="4" max="4" width="14.28515625" bestFit="1" customWidth="1"/>
    <col min="5" max="5" width="13.2109375" bestFit="1" customWidth="1"/>
    <col min="6" max="8" width="12.78515625" bestFit="1" customWidth="1"/>
    <col min="9" max="9" width="13.5" bestFit="1" customWidth="1"/>
    <col min="11" max="11" width="14.78515625" bestFit="1" customWidth="1"/>
    <col min="12" max="12" width="11.7109375" bestFit="1" customWidth="1"/>
    <col min="13" max="17" width="12.78515625" bestFit="1" customWidth="1"/>
    <col min="18" max="20" width="12.92578125" bestFit="1" customWidth="1"/>
    <col min="21" max="21" width="12.78515625" bestFit="1" customWidth="1"/>
    <col min="22" max="22" width="9.78515625" customWidth="1"/>
    <col min="23" max="23" width="9.7109375" customWidth="1"/>
  </cols>
  <sheetData>
    <row r="1" spans="2:23" x14ac:dyDescent="0.45">
      <c r="K1" t="s">
        <v>57</v>
      </c>
    </row>
    <row r="2" spans="2:23" ht="15.4" thickBot="1" x14ac:dyDescent="0.5">
      <c r="B2" t="s">
        <v>62</v>
      </c>
      <c r="C2" t="s">
        <v>56</v>
      </c>
      <c r="K2" t="s">
        <v>2</v>
      </c>
      <c r="L2" t="s">
        <v>3</v>
      </c>
      <c r="M2" t="s">
        <v>5</v>
      </c>
      <c r="N2" t="s">
        <v>7</v>
      </c>
      <c r="O2" t="s">
        <v>9</v>
      </c>
      <c r="P2" t="s">
        <v>11</v>
      </c>
      <c r="Q2" t="s">
        <v>13</v>
      </c>
      <c r="R2" t="s">
        <v>15</v>
      </c>
      <c r="S2" t="s">
        <v>17</v>
      </c>
      <c r="T2" t="s">
        <v>19</v>
      </c>
      <c r="U2" t="s">
        <v>21</v>
      </c>
      <c r="V2" t="s">
        <v>23</v>
      </c>
      <c r="W2" t="s">
        <v>25</v>
      </c>
    </row>
    <row r="3" spans="2:23" x14ac:dyDescent="0.45">
      <c r="C3" s="1" t="s">
        <v>64</v>
      </c>
      <c r="D3" s="2" t="s">
        <v>3</v>
      </c>
      <c r="E3" s="2" t="s">
        <v>5</v>
      </c>
      <c r="F3" s="2" t="s">
        <v>7</v>
      </c>
      <c r="G3" s="2" t="s">
        <v>9</v>
      </c>
      <c r="H3" s="3" t="s">
        <v>11</v>
      </c>
      <c r="K3" t="s">
        <v>27</v>
      </c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3"/>
    </row>
    <row r="4" spans="2:23" ht="15.4" thickBot="1" x14ac:dyDescent="0.5">
      <c r="C4" s="6" t="s">
        <v>64</v>
      </c>
      <c r="D4" s="7" t="s">
        <v>15</v>
      </c>
      <c r="E4" s="7" t="s">
        <v>17</v>
      </c>
      <c r="F4" s="7" t="s">
        <v>19</v>
      </c>
      <c r="G4" s="7" t="s">
        <v>21</v>
      </c>
      <c r="H4" s="8" t="s">
        <v>13</v>
      </c>
      <c r="K4" t="s">
        <v>28</v>
      </c>
      <c r="L4" s="4"/>
      <c r="W4" s="5"/>
    </row>
    <row r="5" spans="2:23" x14ac:dyDescent="0.45">
      <c r="C5" s="9" t="s">
        <v>64</v>
      </c>
      <c r="D5" s="10" t="s">
        <v>64</v>
      </c>
      <c r="E5" s="10" t="s">
        <v>64</v>
      </c>
      <c r="F5" s="10" t="s">
        <v>63</v>
      </c>
      <c r="G5" s="10" t="s">
        <v>63</v>
      </c>
      <c r="H5" s="11" t="s">
        <v>63</v>
      </c>
      <c r="K5" t="s">
        <v>29</v>
      </c>
      <c r="L5" s="4"/>
      <c r="W5" s="5"/>
    </row>
    <row r="6" spans="2:23" ht="15.4" thickBot="1" x14ac:dyDescent="0.5">
      <c r="C6" s="12" t="s">
        <v>64</v>
      </c>
      <c r="D6" s="13" t="s">
        <v>64</v>
      </c>
      <c r="E6" s="13" t="s">
        <v>64</v>
      </c>
      <c r="F6" s="13" t="s">
        <v>63</v>
      </c>
      <c r="G6" s="13" t="s">
        <v>63</v>
      </c>
      <c r="H6" s="14" t="s">
        <v>63</v>
      </c>
      <c r="K6" t="s">
        <v>30</v>
      </c>
      <c r="L6" s="4"/>
      <c r="W6" s="5"/>
    </row>
    <row r="7" spans="2:23" x14ac:dyDescent="0.45">
      <c r="K7" t="s">
        <v>31</v>
      </c>
      <c r="L7" s="4"/>
      <c r="W7" s="5"/>
    </row>
    <row r="8" spans="2:23" x14ac:dyDescent="0.45">
      <c r="K8" t="s">
        <v>32</v>
      </c>
      <c r="L8" s="4"/>
      <c r="W8" s="5"/>
    </row>
    <row r="9" spans="2:23" ht="15.4" thickBot="1" x14ac:dyDescent="0.5">
      <c r="C9" t="s">
        <v>56</v>
      </c>
      <c r="K9" t="s">
        <v>33</v>
      </c>
      <c r="L9" s="4"/>
      <c r="W9" s="5"/>
    </row>
    <row r="10" spans="2:23" ht="15.4" thickBot="1" x14ac:dyDescent="0.5">
      <c r="B10" t="s">
        <v>1</v>
      </c>
      <c r="C10" s="1" t="s">
        <v>3</v>
      </c>
      <c r="D10" s="2" t="s">
        <v>5</v>
      </c>
      <c r="E10" s="2" t="s">
        <v>7</v>
      </c>
      <c r="F10" s="2" t="s">
        <v>9</v>
      </c>
      <c r="G10" s="2" t="s">
        <v>12</v>
      </c>
      <c r="H10" s="3" t="s">
        <v>26</v>
      </c>
      <c r="K10" t="s">
        <v>34</v>
      </c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8"/>
    </row>
    <row r="11" spans="2:23" ht="15.4" thickBot="1" x14ac:dyDescent="0.5">
      <c r="C11" s="6" t="s">
        <v>15</v>
      </c>
      <c r="D11" s="7" t="s">
        <v>17</v>
      </c>
      <c r="E11" s="7" t="s">
        <v>19</v>
      </c>
      <c r="F11" s="7" t="s">
        <v>21</v>
      </c>
      <c r="G11" s="7" t="s">
        <v>13</v>
      </c>
      <c r="H11" s="8" t="s">
        <v>24</v>
      </c>
    </row>
    <row r="12" spans="2:23" ht="15.4" thickBot="1" x14ac:dyDescent="0.5">
      <c r="B12" t="s">
        <v>0</v>
      </c>
      <c r="C12" s="4" t="s">
        <v>3</v>
      </c>
      <c r="D12" t="s">
        <v>5</v>
      </c>
      <c r="E12" t="s">
        <v>7</v>
      </c>
      <c r="F12" t="s">
        <v>9</v>
      </c>
      <c r="G12" s="2" t="s">
        <v>12</v>
      </c>
      <c r="H12" s="5" t="s">
        <v>24</v>
      </c>
      <c r="L12" t="s">
        <v>3</v>
      </c>
      <c r="M12" t="s">
        <v>5</v>
      </c>
      <c r="N12" t="s">
        <v>7</v>
      </c>
      <c r="O12" t="s">
        <v>9</v>
      </c>
      <c r="P12" t="s">
        <v>11</v>
      </c>
      <c r="Q12" t="s">
        <v>13</v>
      </c>
      <c r="R12" t="s">
        <v>15</v>
      </c>
      <c r="S12" t="s">
        <v>17</v>
      </c>
      <c r="T12" t="s">
        <v>19</v>
      </c>
      <c r="U12" t="s">
        <v>21</v>
      </c>
      <c r="V12" t="s">
        <v>23</v>
      </c>
      <c r="W12" t="s">
        <v>25</v>
      </c>
    </row>
    <row r="13" spans="2:23" ht="15.4" thickBot="1" x14ac:dyDescent="0.5">
      <c r="C13" s="6" t="s">
        <v>15</v>
      </c>
      <c r="D13" s="7" t="s">
        <v>17</v>
      </c>
      <c r="E13" s="7" t="s">
        <v>19</v>
      </c>
      <c r="F13" s="7" t="s">
        <v>21</v>
      </c>
      <c r="G13" s="7" t="s">
        <v>13</v>
      </c>
      <c r="H13" s="8" t="s">
        <v>25</v>
      </c>
      <c r="K13" t="s">
        <v>27</v>
      </c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</row>
    <row r="14" spans="2:23" x14ac:dyDescent="0.45">
      <c r="K14" t="s">
        <v>28</v>
      </c>
      <c r="L14" s="4"/>
      <c r="W14" s="5"/>
    </row>
    <row r="15" spans="2:23" ht="15.4" thickBot="1" x14ac:dyDescent="0.5">
      <c r="C15" t="s">
        <v>61</v>
      </c>
      <c r="D15" t="s">
        <v>67</v>
      </c>
      <c r="E15" t="s">
        <v>70</v>
      </c>
      <c r="K15" t="s">
        <v>29</v>
      </c>
      <c r="L15" s="4"/>
      <c r="W15" s="5"/>
    </row>
    <row r="16" spans="2:23" ht="15.4" thickBot="1" x14ac:dyDescent="0.5">
      <c r="C16" s="20"/>
      <c r="D16" s="19" t="s">
        <v>50</v>
      </c>
      <c r="E16" s="19" t="s">
        <v>51</v>
      </c>
      <c r="F16" s="19" t="s">
        <v>52</v>
      </c>
      <c r="G16" s="19" t="s">
        <v>54</v>
      </c>
      <c r="H16" s="26" t="s">
        <v>53</v>
      </c>
      <c r="I16" s="27" t="s">
        <v>54</v>
      </c>
      <c r="K16" t="s">
        <v>30</v>
      </c>
      <c r="L16" s="4"/>
      <c r="W16" s="5"/>
    </row>
    <row r="17" spans="3:23" x14ac:dyDescent="0.45">
      <c r="C17" s="21" t="s">
        <v>6</v>
      </c>
      <c r="D17" s="32">
        <f t="shared" ref="D17:D26" si="0">P34</f>
        <v>3.5384580000000003</v>
      </c>
      <c r="E17" s="32">
        <f t="shared" ref="E17:E26" si="1">P$45</f>
        <v>5.8651167259102701</v>
      </c>
      <c r="F17" s="23">
        <v>3.3</v>
      </c>
      <c r="G17" s="23">
        <f>75*1.1</f>
        <v>82.5</v>
      </c>
      <c r="H17" s="24">
        <v>4.95</v>
      </c>
      <c r="I17" s="25">
        <v>82.5</v>
      </c>
      <c r="J17">
        <f>166.7/(E17*L$45/SUM(D17:I17))</f>
        <v>55.41605406644689</v>
      </c>
      <c r="K17" t="s">
        <v>31</v>
      </c>
      <c r="L17" s="4"/>
      <c r="W17" s="5"/>
    </row>
    <row r="18" spans="3:23" x14ac:dyDescent="0.45">
      <c r="C18" s="21" t="s">
        <v>4</v>
      </c>
      <c r="D18" s="32">
        <f t="shared" si="0"/>
        <v>2.0659320000000001</v>
      </c>
      <c r="E18" s="32">
        <f t="shared" si="1"/>
        <v>5.8651167259102701</v>
      </c>
      <c r="F18" s="23">
        <v>3.3</v>
      </c>
      <c r="G18" s="23">
        <f t="shared" ref="G18:G26" si="2">75*1.1</f>
        <v>82.5</v>
      </c>
      <c r="H18" s="24">
        <v>4.95</v>
      </c>
      <c r="I18" s="25">
        <v>82.5</v>
      </c>
      <c r="J18">
        <f t="shared" ref="J18:J27" si="3">166.7/(E18*L$45/SUM(D18:I18))</f>
        <v>54.969298066446882</v>
      </c>
      <c r="K18" t="s">
        <v>32</v>
      </c>
      <c r="L18" s="4"/>
      <c r="W18" s="5"/>
    </row>
    <row r="19" spans="3:23" x14ac:dyDescent="0.45">
      <c r="C19" s="21" t="s">
        <v>10</v>
      </c>
      <c r="D19" s="32">
        <f t="shared" si="0"/>
        <v>1.8021960000000001</v>
      </c>
      <c r="E19" s="32">
        <f t="shared" si="1"/>
        <v>5.8651167259102701</v>
      </c>
      <c r="F19" s="23">
        <v>3.3</v>
      </c>
      <c r="G19" s="23">
        <f t="shared" si="2"/>
        <v>82.5</v>
      </c>
      <c r="H19" s="24">
        <v>4.95</v>
      </c>
      <c r="I19" s="25">
        <v>82.5</v>
      </c>
      <c r="J19">
        <f t="shared" si="3"/>
        <v>54.889282066446881</v>
      </c>
      <c r="K19" t="s">
        <v>33</v>
      </c>
      <c r="L19" s="4"/>
      <c r="W19" s="5"/>
    </row>
    <row r="20" spans="3:23" ht="15.4" thickBot="1" x14ac:dyDescent="0.5">
      <c r="C20" s="21" t="s">
        <v>8</v>
      </c>
      <c r="D20" s="32">
        <f t="shared" si="0"/>
        <v>1.8901079999999999</v>
      </c>
      <c r="E20" s="32">
        <f t="shared" si="1"/>
        <v>5.8651167259102701</v>
      </c>
      <c r="F20" s="23">
        <v>3.3</v>
      </c>
      <c r="G20" s="23">
        <f t="shared" si="2"/>
        <v>82.5</v>
      </c>
      <c r="H20" s="24">
        <v>4.95</v>
      </c>
      <c r="I20" s="25">
        <v>82.5</v>
      </c>
      <c r="J20">
        <f t="shared" si="3"/>
        <v>54.915954066446879</v>
      </c>
      <c r="K20" t="s">
        <v>34</v>
      </c>
      <c r="L20" s="6"/>
      <c r="M20" s="7"/>
      <c r="N20" s="7"/>
      <c r="O20" s="7"/>
      <c r="P20" s="7"/>
      <c r="Q20" s="7"/>
      <c r="R20" s="7"/>
      <c r="S20" s="7"/>
      <c r="T20" s="7"/>
      <c r="U20" s="7"/>
      <c r="V20" s="7"/>
      <c r="W20" s="8"/>
    </row>
    <row r="21" spans="3:23" x14ac:dyDescent="0.45">
      <c r="C21" s="21" t="s">
        <v>12</v>
      </c>
      <c r="D21" s="32">
        <f t="shared" si="0"/>
        <v>4.2307650000000008</v>
      </c>
      <c r="E21" s="32">
        <f t="shared" si="1"/>
        <v>5.8651167259102701</v>
      </c>
      <c r="F21" s="23">
        <v>3.3</v>
      </c>
      <c r="G21" s="23">
        <f t="shared" si="2"/>
        <v>82.5</v>
      </c>
      <c r="H21" s="24">
        <v>4.95</v>
      </c>
      <c r="I21" s="25">
        <v>82.5</v>
      </c>
      <c r="J21">
        <f t="shared" si="3"/>
        <v>55.626096066446877</v>
      </c>
    </row>
    <row r="22" spans="3:23" ht="15.4" thickBot="1" x14ac:dyDescent="0.5">
      <c r="C22" s="21" t="s">
        <v>14</v>
      </c>
      <c r="D22" s="32">
        <f t="shared" si="0"/>
        <v>2.6813160000000003</v>
      </c>
      <c r="E22" s="32">
        <f t="shared" si="1"/>
        <v>5.8651167259102701</v>
      </c>
      <c r="F22" s="23">
        <v>3.3</v>
      </c>
      <c r="G22" s="23">
        <f t="shared" si="2"/>
        <v>82.5</v>
      </c>
      <c r="H22" s="24">
        <v>4.95</v>
      </c>
      <c r="I22" s="25">
        <v>82.5</v>
      </c>
      <c r="J22">
        <f t="shared" si="3"/>
        <v>55.156002066446881</v>
      </c>
      <c r="L22" t="s">
        <v>3</v>
      </c>
      <c r="M22" t="s">
        <v>5</v>
      </c>
      <c r="N22" t="s">
        <v>7</v>
      </c>
      <c r="O22" t="s">
        <v>9</v>
      </c>
      <c r="P22" t="s">
        <v>11</v>
      </c>
      <c r="Q22" t="s">
        <v>13</v>
      </c>
      <c r="R22" t="s">
        <v>15</v>
      </c>
      <c r="S22" t="s">
        <v>17</v>
      </c>
      <c r="T22" t="s">
        <v>19</v>
      </c>
      <c r="U22" t="s">
        <v>21</v>
      </c>
      <c r="V22" t="s">
        <v>23</v>
      </c>
      <c r="W22" t="s">
        <v>25</v>
      </c>
    </row>
    <row r="23" spans="3:23" x14ac:dyDescent="0.45">
      <c r="C23" s="21" t="s">
        <v>16</v>
      </c>
      <c r="D23" s="32">
        <f t="shared" si="0"/>
        <v>3.1318650000000003</v>
      </c>
      <c r="E23" s="32">
        <f t="shared" si="1"/>
        <v>5.8651167259102701</v>
      </c>
      <c r="F23" s="23">
        <v>3.3</v>
      </c>
      <c r="G23" s="23">
        <f t="shared" si="2"/>
        <v>82.5</v>
      </c>
      <c r="H23" s="24">
        <v>4.95</v>
      </c>
      <c r="I23" s="25">
        <v>82.5</v>
      </c>
      <c r="J23">
        <f t="shared" si="3"/>
        <v>55.292696066446879</v>
      </c>
      <c r="K23" t="s">
        <v>27</v>
      </c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3"/>
    </row>
    <row r="24" spans="3:23" x14ac:dyDescent="0.45">
      <c r="C24" s="21" t="s">
        <v>18</v>
      </c>
      <c r="D24" s="32">
        <f t="shared" si="0"/>
        <v>2.3736240000000004</v>
      </c>
      <c r="E24" s="32">
        <f t="shared" si="1"/>
        <v>5.8651167259102701</v>
      </c>
      <c r="F24" s="23">
        <v>3.3</v>
      </c>
      <c r="G24" s="23">
        <f t="shared" si="2"/>
        <v>82.5</v>
      </c>
      <c r="H24" s="24">
        <v>4.95</v>
      </c>
      <c r="I24" s="25">
        <v>82.5</v>
      </c>
      <c r="J24">
        <f t="shared" si="3"/>
        <v>55.062650066446885</v>
      </c>
      <c r="K24" t="s">
        <v>28</v>
      </c>
      <c r="L24" s="4"/>
      <c r="W24" s="5"/>
    </row>
    <row r="25" spans="3:23" x14ac:dyDescent="0.45">
      <c r="C25" s="21" t="s">
        <v>20</v>
      </c>
      <c r="D25" s="32">
        <f t="shared" si="0"/>
        <v>14.417568000000001</v>
      </c>
      <c r="E25" s="32">
        <f t="shared" si="1"/>
        <v>5.8651167259102701</v>
      </c>
      <c r="F25" s="23">
        <v>3.3</v>
      </c>
      <c r="G25" s="23">
        <f t="shared" si="2"/>
        <v>82.5</v>
      </c>
      <c r="H25" s="24">
        <v>4.95</v>
      </c>
      <c r="I25" s="25">
        <v>82.5</v>
      </c>
      <c r="J25">
        <f t="shared" si="3"/>
        <v>58.716714066446869</v>
      </c>
      <c r="K25" t="s">
        <v>29</v>
      </c>
      <c r="L25" s="4"/>
      <c r="W25" s="5"/>
    </row>
    <row r="26" spans="3:23" x14ac:dyDescent="0.45">
      <c r="C26" s="21" t="s">
        <v>22</v>
      </c>
      <c r="D26" s="32">
        <f t="shared" si="0"/>
        <v>3.230766</v>
      </c>
      <c r="E26" s="32">
        <f t="shared" si="1"/>
        <v>5.8651167259102701</v>
      </c>
      <c r="F26" s="23">
        <v>3.3</v>
      </c>
      <c r="G26" s="23">
        <f t="shared" si="2"/>
        <v>82.5</v>
      </c>
      <c r="H26" s="24">
        <v>4.95</v>
      </c>
      <c r="I26" s="25">
        <v>82.5</v>
      </c>
      <c r="J26">
        <f t="shared" si="3"/>
        <v>55.32270206644688</v>
      </c>
      <c r="K26" t="s">
        <v>30</v>
      </c>
      <c r="L26" s="4"/>
      <c r="W26" s="5"/>
    </row>
    <row r="27" spans="3:23" x14ac:dyDescent="0.45">
      <c r="C27" s="22" t="s">
        <v>24</v>
      </c>
      <c r="D27" s="32">
        <v>0</v>
      </c>
      <c r="E27" s="32">
        <f>P$45*2/3</f>
        <v>3.9100778172735136</v>
      </c>
      <c r="F27" s="23">
        <v>2.2000000000000002</v>
      </c>
      <c r="G27" s="23">
        <f>50*1.1</f>
        <v>55.000000000000007</v>
      </c>
      <c r="H27" s="24">
        <v>3.3</v>
      </c>
      <c r="I27" s="25">
        <v>55</v>
      </c>
      <c r="J27">
        <f t="shared" si="3"/>
        <v>54.34250606644688</v>
      </c>
      <c r="K27" t="s">
        <v>31</v>
      </c>
      <c r="L27" s="4"/>
      <c r="W27" s="5"/>
    </row>
    <row r="28" spans="3:23" x14ac:dyDescent="0.45">
      <c r="C28" s="22" t="s">
        <v>26</v>
      </c>
      <c r="D28" s="32">
        <v>0</v>
      </c>
      <c r="E28" s="32">
        <v>0</v>
      </c>
      <c r="F28" s="23">
        <v>0</v>
      </c>
      <c r="G28" s="23">
        <v>0</v>
      </c>
      <c r="H28" s="24">
        <v>0</v>
      </c>
      <c r="I28" s="25">
        <v>0</v>
      </c>
      <c r="K28" t="s">
        <v>32</v>
      </c>
      <c r="L28" s="4"/>
      <c r="W28" s="5"/>
    </row>
    <row r="29" spans="3:23" x14ac:dyDescent="0.45">
      <c r="C29" s="31" t="s">
        <v>55</v>
      </c>
      <c r="D29" s="23">
        <f>SUM(D17:D28)</f>
        <v>39.362598000000006</v>
      </c>
      <c r="E29" s="23">
        <f t="shared" ref="E29:I29" si="4">SUM(E17:E28)</f>
        <v>62.56124507637621</v>
      </c>
      <c r="F29" s="23">
        <f t="shared" si="4"/>
        <v>35.200000000000003</v>
      </c>
      <c r="G29" s="23">
        <f t="shared" si="4"/>
        <v>880</v>
      </c>
      <c r="H29" s="24">
        <f t="shared" si="4"/>
        <v>52.800000000000004</v>
      </c>
      <c r="I29" s="25">
        <f t="shared" si="4"/>
        <v>880</v>
      </c>
      <c r="K29" t="s">
        <v>33</v>
      </c>
      <c r="L29" s="4"/>
      <c r="W29" s="5"/>
    </row>
    <row r="30" spans="3:23" ht="15.4" thickBot="1" x14ac:dyDescent="0.5">
      <c r="C30" s="30" t="s">
        <v>58</v>
      </c>
      <c r="D30" s="28">
        <v>17</v>
      </c>
      <c r="E30" s="28"/>
      <c r="F30" s="28"/>
      <c r="G30" s="28"/>
      <c r="H30" s="28"/>
      <c r="I30" s="29"/>
      <c r="K30" t="s">
        <v>34</v>
      </c>
      <c r="L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8"/>
    </row>
    <row r="33" spans="3:16" ht="30.4" thickBot="1" x14ac:dyDescent="0.5">
      <c r="C33" t="s">
        <v>65</v>
      </c>
      <c r="D33" t="s">
        <v>68</v>
      </c>
      <c r="E33" t="s">
        <v>69</v>
      </c>
      <c r="K33" s="15" t="s">
        <v>35</v>
      </c>
      <c r="L33" s="17" t="s">
        <v>36</v>
      </c>
      <c r="M33" s="17" t="s">
        <v>48</v>
      </c>
      <c r="N33" s="17" t="s">
        <v>37</v>
      </c>
      <c r="O33" s="17" t="s">
        <v>59</v>
      </c>
      <c r="P33" s="17" t="s">
        <v>60</v>
      </c>
    </row>
    <row r="34" spans="3:16" ht="15.4" thickBot="1" x14ac:dyDescent="0.5">
      <c r="C34" s="20"/>
      <c r="D34" s="19" t="s">
        <v>50</v>
      </c>
      <c r="E34" s="19" t="s">
        <v>51</v>
      </c>
      <c r="F34" s="19" t="s">
        <v>52</v>
      </c>
      <c r="G34" s="19" t="s">
        <v>54</v>
      </c>
      <c r="H34" s="26" t="s">
        <v>53</v>
      </c>
      <c r="I34" s="27" t="s">
        <v>54</v>
      </c>
      <c r="K34" s="18" t="s">
        <v>38</v>
      </c>
      <c r="L34" s="16">
        <f>500/1.61</f>
        <v>310.55900621118013</v>
      </c>
      <c r="M34" s="17">
        <f>66.7/L34</f>
        <v>0.21477399999999999</v>
      </c>
      <c r="N34" s="17">
        <f>333/L34</f>
        <v>1.07226</v>
      </c>
      <c r="O34">
        <f>(M34*24)*1.1</f>
        <v>5.6700336</v>
      </c>
      <c r="P34">
        <f>(N34*3)*1.1</f>
        <v>3.5384580000000003</v>
      </c>
    </row>
    <row r="35" spans="3:16" x14ac:dyDescent="0.45">
      <c r="C35" s="21" t="s">
        <v>6</v>
      </c>
      <c r="D35" s="32">
        <f t="shared" ref="D35:D44" si="5">O34</f>
        <v>5.6700336</v>
      </c>
      <c r="E35" s="32">
        <f t="shared" ref="E35:E45" si="6">O$45</f>
        <v>9.3982771319691309</v>
      </c>
      <c r="F35" s="23">
        <v>5.28</v>
      </c>
      <c r="G35" s="23">
        <f>5*24*1.1</f>
        <v>132</v>
      </c>
      <c r="H35" s="24">
        <v>7.92</v>
      </c>
      <c r="I35" s="25">
        <v>132</v>
      </c>
      <c r="J35">
        <f>33.3/(E35*L$45/SUM(D35:I35))</f>
        <v>11.054171490816602</v>
      </c>
      <c r="K35" s="18" t="s">
        <v>39</v>
      </c>
      <c r="L35" s="16">
        <f>500/0.94</f>
        <v>531.91489361702133</v>
      </c>
      <c r="M35" s="17">
        <f t="shared" ref="M35:M43" si="7">66.7/L35</f>
        <v>0.12539599999999998</v>
      </c>
      <c r="N35" s="17">
        <f t="shared" ref="N35:N43" si="8">333/L35</f>
        <v>0.62603999999999993</v>
      </c>
      <c r="O35">
        <f t="shared" ref="O35:O43" si="9">(M35*24)*1.1</f>
        <v>3.3104543999999998</v>
      </c>
      <c r="P35">
        <f t="shared" ref="P35:P45" si="10">(N35*3)*1.1</f>
        <v>2.0659320000000001</v>
      </c>
    </row>
    <row r="36" spans="3:16" x14ac:dyDescent="0.45">
      <c r="C36" s="21" t="s">
        <v>4</v>
      </c>
      <c r="D36" s="32">
        <f t="shared" si="5"/>
        <v>3.3104543999999998</v>
      </c>
      <c r="E36" s="32">
        <f t="shared" si="6"/>
        <v>9.3982771319691309</v>
      </c>
      <c r="F36" s="23">
        <v>5.28</v>
      </c>
      <c r="G36" s="23">
        <f t="shared" ref="G36:G45" si="11">5*24*1.1</f>
        <v>132</v>
      </c>
      <c r="H36" s="24">
        <v>7.92</v>
      </c>
      <c r="I36" s="25">
        <v>132</v>
      </c>
      <c r="J36">
        <f t="shared" ref="J36:J43" si="12">33.3/(E36*L$45/SUM(D36:I36))</f>
        <v>10.964927490816603</v>
      </c>
      <c r="K36" s="18" t="s">
        <v>40</v>
      </c>
      <c r="L36" s="16">
        <f>500/0.82</f>
        <v>609.7560975609756</v>
      </c>
      <c r="M36" s="17">
        <f t="shared" si="7"/>
        <v>0.109388</v>
      </c>
      <c r="N36" s="17">
        <f t="shared" si="8"/>
        <v>0.54612000000000005</v>
      </c>
      <c r="O36">
        <f t="shared" si="9"/>
        <v>2.8878432000000003</v>
      </c>
      <c r="P36">
        <f t="shared" si="10"/>
        <v>1.8021960000000001</v>
      </c>
    </row>
    <row r="37" spans="3:16" x14ac:dyDescent="0.45">
      <c r="C37" s="21" t="s">
        <v>10</v>
      </c>
      <c r="D37" s="32">
        <f t="shared" si="5"/>
        <v>2.8878432000000003</v>
      </c>
      <c r="E37" s="32">
        <f t="shared" si="6"/>
        <v>9.3982771319691309</v>
      </c>
      <c r="F37" s="23">
        <v>5.28</v>
      </c>
      <c r="G37" s="23">
        <f t="shared" si="11"/>
        <v>132</v>
      </c>
      <c r="H37" s="24">
        <v>7.92</v>
      </c>
      <c r="I37" s="25">
        <v>132</v>
      </c>
      <c r="J37">
        <f t="shared" si="12"/>
        <v>10.948943490816603</v>
      </c>
      <c r="K37" s="18" t="s">
        <v>41</v>
      </c>
      <c r="L37" s="16">
        <f>500/0.86</f>
        <v>581.39534883720933</v>
      </c>
      <c r="M37" s="17">
        <f t="shared" si="7"/>
        <v>0.11472400000000001</v>
      </c>
      <c r="N37" s="17">
        <f t="shared" si="8"/>
        <v>0.57275999999999994</v>
      </c>
      <c r="O37">
        <f t="shared" si="9"/>
        <v>3.0287136000000006</v>
      </c>
      <c r="P37">
        <f t="shared" si="10"/>
        <v>1.8901079999999999</v>
      </c>
    </row>
    <row r="38" spans="3:16" x14ac:dyDescent="0.45">
      <c r="C38" s="21" t="s">
        <v>8</v>
      </c>
      <c r="D38" s="32">
        <f t="shared" si="5"/>
        <v>3.0287136000000006</v>
      </c>
      <c r="E38" s="32">
        <f t="shared" si="6"/>
        <v>9.3982771319691309</v>
      </c>
      <c r="F38" s="23">
        <v>5.28</v>
      </c>
      <c r="G38" s="23">
        <f t="shared" si="11"/>
        <v>132</v>
      </c>
      <c r="H38" s="24">
        <v>7.92</v>
      </c>
      <c r="I38" s="25">
        <v>132</v>
      </c>
      <c r="J38">
        <f t="shared" si="12"/>
        <v>10.954271490816604</v>
      </c>
      <c r="K38" s="18" t="s">
        <v>42</v>
      </c>
      <c r="L38" s="16">
        <f>1000/3.85</f>
        <v>259.74025974025972</v>
      </c>
      <c r="M38" s="17">
        <f t="shared" si="7"/>
        <v>0.25679500000000005</v>
      </c>
      <c r="N38" s="17">
        <f t="shared" si="8"/>
        <v>1.2820500000000001</v>
      </c>
      <c r="O38">
        <f t="shared" si="9"/>
        <v>6.7793880000000017</v>
      </c>
      <c r="P38">
        <f t="shared" si="10"/>
        <v>4.2307650000000008</v>
      </c>
    </row>
    <row r="39" spans="3:16" x14ac:dyDescent="0.45">
      <c r="C39" s="21" t="s">
        <v>12</v>
      </c>
      <c r="D39" s="32">
        <f t="shared" si="5"/>
        <v>6.7793880000000017</v>
      </c>
      <c r="E39" s="32">
        <f t="shared" si="6"/>
        <v>9.3982771319691309</v>
      </c>
      <c r="F39" s="23">
        <v>5.28</v>
      </c>
      <c r="G39" s="23">
        <f t="shared" si="11"/>
        <v>132</v>
      </c>
      <c r="H39" s="24">
        <v>7.92</v>
      </c>
      <c r="I39" s="25">
        <v>132</v>
      </c>
      <c r="J39">
        <f t="shared" si="12"/>
        <v>11.096129490816603</v>
      </c>
      <c r="K39" s="18" t="s">
        <v>43</v>
      </c>
      <c r="L39" s="16">
        <f>500/1.22</f>
        <v>409.8360655737705</v>
      </c>
      <c r="M39" s="17">
        <f t="shared" si="7"/>
        <v>0.162748</v>
      </c>
      <c r="N39" s="17">
        <f t="shared" si="8"/>
        <v>0.81252000000000002</v>
      </c>
      <c r="O39">
        <f t="shared" si="9"/>
        <v>4.2965472</v>
      </c>
      <c r="P39">
        <f t="shared" si="10"/>
        <v>2.6813160000000003</v>
      </c>
    </row>
    <row r="40" spans="3:16" x14ac:dyDescent="0.45">
      <c r="C40" s="21" t="s">
        <v>14</v>
      </c>
      <c r="D40" s="32">
        <f t="shared" si="5"/>
        <v>4.2965472</v>
      </c>
      <c r="E40" s="32">
        <f t="shared" si="6"/>
        <v>9.3982771319691309</v>
      </c>
      <c r="F40" s="23">
        <v>5.28</v>
      </c>
      <c r="G40" s="23">
        <f t="shared" si="11"/>
        <v>132</v>
      </c>
      <c r="H40" s="24">
        <v>7.92</v>
      </c>
      <c r="I40" s="25">
        <v>132</v>
      </c>
      <c r="J40">
        <f t="shared" si="12"/>
        <v>11.002223490816602</v>
      </c>
      <c r="K40" s="18" t="s">
        <v>44</v>
      </c>
      <c r="L40" s="16">
        <f>1000/2.85</f>
        <v>350.87719298245611</v>
      </c>
      <c r="M40" s="17">
        <f t="shared" si="7"/>
        <v>0.19009500000000001</v>
      </c>
      <c r="N40" s="17">
        <f t="shared" si="8"/>
        <v>0.94905000000000006</v>
      </c>
      <c r="O40">
        <f t="shared" si="9"/>
        <v>5.0185080000000006</v>
      </c>
      <c r="P40">
        <f t="shared" si="10"/>
        <v>3.1318650000000003</v>
      </c>
    </row>
    <row r="41" spans="3:16" x14ac:dyDescent="0.45">
      <c r="C41" s="21" t="s">
        <v>16</v>
      </c>
      <c r="D41" s="32">
        <f t="shared" si="5"/>
        <v>5.0185080000000006</v>
      </c>
      <c r="E41" s="32">
        <f t="shared" si="6"/>
        <v>9.3982771319691309</v>
      </c>
      <c r="F41" s="23">
        <v>5.28</v>
      </c>
      <c r="G41" s="23">
        <f t="shared" si="11"/>
        <v>132</v>
      </c>
      <c r="H41" s="24">
        <v>7.92</v>
      </c>
      <c r="I41" s="25">
        <v>132</v>
      </c>
      <c r="J41">
        <f t="shared" si="12"/>
        <v>11.0295294908166</v>
      </c>
      <c r="K41" s="18" t="s">
        <v>45</v>
      </c>
      <c r="L41" s="16">
        <f>1000/2.16</f>
        <v>462.96296296296293</v>
      </c>
      <c r="M41" s="17">
        <f t="shared" si="7"/>
        <v>0.14407200000000001</v>
      </c>
      <c r="N41" s="17">
        <f t="shared" si="8"/>
        <v>0.71928000000000003</v>
      </c>
      <c r="O41">
        <f t="shared" si="9"/>
        <v>3.8035008000000006</v>
      </c>
      <c r="P41">
        <f t="shared" si="10"/>
        <v>2.3736240000000004</v>
      </c>
    </row>
    <row r="42" spans="3:16" x14ac:dyDescent="0.45">
      <c r="C42" s="21" t="s">
        <v>18</v>
      </c>
      <c r="D42" s="32">
        <f t="shared" si="5"/>
        <v>3.8035008000000006</v>
      </c>
      <c r="E42" s="32">
        <f t="shared" si="6"/>
        <v>9.3982771319691309</v>
      </c>
      <c r="F42" s="23">
        <v>5.28</v>
      </c>
      <c r="G42" s="23">
        <f t="shared" si="11"/>
        <v>132</v>
      </c>
      <c r="H42" s="24">
        <v>7.92</v>
      </c>
      <c r="I42" s="25">
        <v>132</v>
      </c>
      <c r="J42">
        <f t="shared" si="12"/>
        <v>10.983575490816603</v>
      </c>
      <c r="K42" s="18" t="s">
        <v>46</v>
      </c>
      <c r="L42" s="16">
        <f>500/6.56</f>
        <v>76.219512195121951</v>
      </c>
      <c r="M42" s="17">
        <f t="shared" si="7"/>
        <v>0.87510399999999999</v>
      </c>
      <c r="N42" s="17">
        <f t="shared" si="8"/>
        <v>4.3689600000000004</v>
      </c>
      <c r="O42">
        <f t="shared" si="9"/>
        <v>23.102745600000002</v>
      </c>
      <c r="P42">
        <f t="shared" si="10"/>
        <v>14.417568000000001</v>
      </c>
    </row>
    <row r="43" spans="3:16" x14ac:dyDescent="0.45">
      <c r="C43" s="21" t="s">
        <v>20</v>
      </c>
      <c r="D43" s="32">
        <f t="shared" si="5"/>
        <v>23.102745600000002</v>
      </c>
      <c r="E43" s="32">
        <f t="shared" si="6"/>
        <v>9.3982771319691309</v>
      </c>
      <c r="F43" s="23">
        <v>5.28</v>
      </c>
      <c r="G43" s="23">
        <f t="shared" si="11"/>
        <v>132</v>
      </c>
      <c r="H43" s="24">
        <v>7.92</v>
      </c>
      <c r="I43" s="25">
        <v>132</v>
      </c>
      <c r="J43">
        <f t="shared" si="12"/>
        <v>11.713511490816604</v>
      </c>
      <c r="K43" s="18" t="s">
        <v>47</v>
      </c>
      <c r="L43" s="16">
        <f>500/1.47</f>
        <v>340.13605442176873</v>
      </c>
      <c r="M43" s="17">
        <f t="shared" si="7"/>
        <v>0.19609799999999999</v>
      </c>
      <c r="N43" s="17">
        <f t="shared" si="8"/>
        <v>0.97901999999999989</v>
      </c>
      <c r="O43">
        <f t="shared" si="9"/>
        <v>5.1769872000000001</v>
      </c>
      <c r="P43">
        <f t="shared" si="10"/>
        <v>3.230766</v>
      </c>
    </row>
    <row r="44" spans="3:16" x14ac:dyDescent="0.45">
      <c r="C44" s="21" t="s">
        <v>22</v>
      </c>
      <c r="D44" s="32">
        <f t="shared" si="5"/>
        <v>5.1769872000000001</v>
      </c>
      <c r="E44" s="32">
        <f t="shared" si="6"/>
        <v>9.3982771319691309</v>
      </c>
      <c r="F44" s="23">
        <v>5.28</v>
      </c>
      <c r="G44" s="23">
        <f t="shared" si="11"/>
        <v>132</v>
      </c>
      <c r="H44" s="24">
        <v>7.92</v>
      </c>
      <c r="I44" s="25">
        <v>132</v>
      </c>
      <c r="J44">
        <f>33.3/(E44*L$45/SUM(D44:I44))</f>
        <v>11.035523490816601</v>
      </c>
      <c r="M44" s="17"/>
      <c r="N44" s="17"/>
    </row>
    <row r="45" spans="3:16" x14ac:dyDescent="0.45">
      <c r="C45" s="22" t="s">
        <v>24</v>
      </c>
      <c r="D45" s="32">
        <v>0</v>
      </c>
      <c r="E45" s="32">
        <f t="shared" si="6"/>
        <v>9.3982771319691309</v>
      </c>
      <c r="F45" s="23">
        <v>5.28</v>
      </c>
      <c r="G45" s="23">
        <f t="shared" si="11"/>
        <v>132</v>
      </c>
      <c r="H45" s="24">
        <v>7.92</v>
      </c>
      <c r="I45" s="25">
        <v>132</v>
      </c>
      <c r="J45">
        <f>33.3/(E45*L$45/SUM(D45:I45))</f>
        <v>10.8397194908166</v>
      </c>
      <c r="K45" t="s">
        <v>49</v>
      </c>
      <c r="L45">
        <v>93.680999999999997</v>
      </c>
      <c r="M45" s="17">
        <f>66.7/L45/2</f>
        <v>0.35599534590792159</v>
      </c>
      <c r="N45" s="17">
        <f>333/L45/2</f>
        <v>1.777308098760688</v>
      </c>
      <c r="O45">
        <f>(M45*24)*1.1</f>
        <v>9.3982771319691309</v>
      </c>
      <c r="P45">
        <f t="shared" si="10"/>
        <v>5.8651167259102701</v>
      </c>
    </row>
    <row r="46" spans="3:16" x14ac:dyDescent="0.45">
      <c r="C46" s="22" t="s">
        <v>26</v>
      </c>
      <c r="D46" s="32">
        <v>0</v>
      </c>
      <c r="E46" s="32">
        <v>0</v>
      </c>
      <c r="F46" s="23">
        <v>0</v>
      </c>
      <c r="G46" s="23">
        <v>0</v>
      </c>
      <c r="H46" s="24">
        <v>0</v>
      </c>
      <c r="I46" s="25">
        <v>0</v>
      </c>
    </row>
    <row r="47" spans="3:16" x14ac:dyDescent="0.45">
      <c r="C47" s="31" t="s">
        <v>55</v>
      </c>
      <c r="D47" s="23">
        <f>SUM(D35:D46)</f>
        <v>63.074721600000004</v>
      </c>
      <c r="E47" s="23">
        <f t="shared" ref="E47:I47" si="13">SUM(E35:E46)</f>
        <v>103.38104845166046</v>
      </c>
      <c r="F47" s="23">
        <f t="shared" si="13"/>
        <v>58.080000000000005</v>
      </c>
      <c r="G47" s="23">
        <f t="shared" si="13"/>
        <v>1452</v>
      </c>
      <c r="H47" s="24">
        <f>SUM(H35:H46)</f>
        <v>87.12</v>
      </c>
      <c r="I47" s="25">
        <f t="shared" si="13"/>
        <v>1452</v>
      </c>
    </row>
    <row r="48" spans="3:16" ht="15.4" thickBot="1" x14ac:dyDescent="0.5">
      <c r="C48" s="30" t="s">
        <v>58</v>
      </c>
      <c r="D48" s="28">
        <v>28.8</v>
      </c>
      <c r="E48" s="28"/>
      <c r="F48" s="28"/>
      <c r="G48" s="28"/>
      <c r="H48" s="28"/>
      <c r="I48" s="29"/>
    </row>
    <row r="51" spans="3:13" ht="15.4" thickBot="1" x14ac:dyDescent="0.5">
      <c r="C51" t="s">
        <v>66</v>
      </c>
    </row>
    <row r="52" spans="3:13" ht="15.4" thickBot="1" x14ac:dyDescent="0.5">
      <c r="C52" s="20"/>
      <c r="D52" s="19" t="s">
        <v>50</v>
      </c>
      <c r="E52" s="19" t="s">
        <v>51</v>
      </c>
      <c r="F52" s="19" t="s">
        <v>52</v>
      </c>
      <c r="G52" s="19" t="s">
        <v>54</v>
      </c>
      <c r="H52" s="26" t="s">
        <v>53</v>
      </c>
      <c r="I52" s="27" t="s">
        <v>54</v>
      </c>
      <c r="J52" s="33" t="s">
        <v>65</v>
      </c>
      <c r="K52" s="33" t="s">
        <v>61</v>
      </c>
    </row>
    <row r="53" spans="3:13" x14ac:dyDescent="0.45">
      <c r="C53" s="21" t="s">
        <v>6</v>
      </c>
      <c r="D53" s="32">
        <f>O34+P34</f>
        <v>9.2084916000000003</v>
      </c>
      <c r="E53" s="32">
        <f>O$45+P$45</f>
        <v>15.2633938578794</v>
      </c>
      <c r="F53" s="23">
        <f>F35+F17</f>
        <v>8.58</v>
      </c>
      <c r="G53" s="23">
        <f>G35+G17</f>
        <v>214.5</v>
      </c>
      <c r="H53" s="24">
        <f>H35+H17</f>
        <v>12.870000000000001</v>
      </c>
      <c r="I53" s="25">
        <f>I17+I35</f>
        <v>214.5</v>
      </c>
      <c r="J53">
        <f>33.3/(E53*L$45/SUM(D53:I53))</f>
        <v>11.060220566440343</v>
      </c>
      <c r="K53">
        <f>166.7/(E53*L$45/SUM(D53:I53))</f>
        <v>55.367530583351503</v>
      </c>
      <c r="M53">
        <f>H53+I53</f>
        <v>227.37</v>
      </c>
    </row>
    <row r="54" spans="3:13" x14ac:dyDescent="0.45">
      <c r="C54" s="21" t="s">
        <v>4</v>
      </c>
      <c r="D54" s="32">
        <f t="shared" ref="D54:D64" si="14">O35+P35</f>
        <v>5.3763863999999995</v>
      </c>
      <c r="E54" s="32">
        <f t="shared" ref="E54:E63" si="15">O$45+P$45</f>
        <v>15.2633938578794</v>
      </c>
      <c r="F54" s="23">
        <f t="shared" ref="F54:H63" si="16">F36+F18</f>
        <v>8.58</v>
      </c>
      <c r="G54" s="23">
        <f t="shared" si="16"/>
        <v>214.5</v>
      </c>
      <c r="H54" s="24">
        <f t="shared" si="16"/>
        <v>12.870000000000001</v>
      </c>
      <c r="I54" s="25">
        <f t="shared" ref="I54:I63" si="17">I18+I36</f>
        <v>214.5</v>
      </c>
      <c r="J54">
        <f t="shared" ref="J54:K63" si="18">33.3/(E54*L$45/SUM(D54:I54))</f>
        <v>10.970976566440342</v>
      </c>
      <c r="K54">
        <f t="shared" ref="K54:K63" si="19">166.7/(E54*L$45/SUM(D54:I54))</f>
        <v>54.920774583351509</v>
      </c>
    </row>
    <row r="55" spans="3:13" x14ac:dyDescent="0.45">
      <c r="C55" s="21" t="s">
        <v>10</v>
      </c>
      <c r="D55" s="32">
        <f t="shared" si="14"/>
        <v>4.6900392000000002</v>
      </c>
      <c r="E55" s="32">
        <f t="shared" si="15"/>
        <v>15.2633938578794</v>
      </c>
      <c r="F55" s="23">
        <f t="shared" si="16"/>
        <v>8.58</v>
      </c>
      <c r="G55" s="23">
        <f t="shared" si="16"/>
        <v>214.5</v>
      </c>
      <c r="H55" s="24">
        <f t="shared" si="16"/>
        <v>12.870000000000001</v>
      </c>
      <c r="I55" s="25">
        <f t="shared" si="17"/>
        <v>214.5</v>
      </c>
      <c r="J55">
        <f t="shared" si="18"/>
        <v>10.954992566440342</v>
      </c>
      <c r="K55">
        <f t="shared" si="19"/>
        <v>54.840758583351501</v>
      </c>
    </row>
    <row r="56" spans="3:13" x14ac:dyDescent="0.45">
      <c r="C56" s="21" t="s">
        <v>8</v>
      </c>
      <c r="D56" s="32">
        <f t="shared" si="14"/>
        <v>4.9188216000000002</v>
      </c>
      <c r="E56" s="32">
        <f t="shared" si="15"/>
        <v>15.2633938578794</v>
      </c>
      <c r="F56" s="23">
        <f t="shared" si="16"/>
        <v>8.58</v>
      </c>
      <c r="G56" s="23">
        <f t="shared" si="16"/>
        <v>214.5</v>
      </c>
      <c r="H56" s="24">
        <f t="shared" si="16"/>
        <v>12.870000000000001</v>
      </c>
      <c r="I56" s="25">
        <f t="shared" si="17"/>
        <v>214.5</v>
      </c>
      <c r="J56">
        <f t="shared" si="18"/>
        <v>10.960320566440343</v>
      </c>
      <c r="K56">
        <f t="shared" si="19"/>
        <v>54.867430583351506</v>
      </c>
    </row>
    <row r="57" spans="3:13" x14ac:dyDescent="0.45">
      <c r="C57" s="21" t="s">
        <v>12</v>
      </c>
      <c r="D57" s="32">
        <f t="shared" si="14"/>
        <v>11.010153000000003</v>
      </c>
      <c r="E57" s="32">
        <f t="shared" si="15"/>
        <v>15.2633938578794</v>
      </c>
      <c r="F57" s="23">
        <f t="shared" si="16"/>
        <v>8.58</v>
      </c>
      <c r="G57" s="23">
        <f t="shared" si="16"/>
        <v>214.5</v>
      </c>
      <c r="H57" s="24">
        <f t="shared" si="16"/>
        <v>12.870000000000001</v>
      </c>
      <c r="I57" s="25">
        <f t="shared" si="17"/>
        <v>214.5</v>
      </c>
      <c r="J57">
        <f t="shared" si="18"/>
        <v>11.102178566440342</v>
      </c>
      <c r="K57">
        <f t="shared" si="19"/>
        <v>55.577572583351504</v>
      </c>
    </row>
    <row r="58" spans="3:13" x14ac:dyDescent="0.45">
      <c r="C58" s="21" t="s">
        <v>14</v>
      </c>
      <c r="D58" s="32">
        <f t="shared" si="14"/>
        <v>6.9778631999999998</v>
      </c>
      <c r="E58" s="32">
        <f t="shared" si="15"/>
        <v>15.2633938578794</v>
      </c>
      <c r="F58" s="23">
        <f t="shared" si="16"/>
        <v>8.58</v>
      </c>
      <c r="G58" s="23">
        <f t="shared" si="16"/>
        <v>214.5</v>
      </c>
      <c r="H58" s="24">
        <f t="shared" si="16"/>
        <v>12.870000000000001</v>
      </c>
      <c r="I58" s="25">
        <f t="shared" si="17"/>
        <v>214.5</v>
      </c>
      <c r="J58">
        <f t="shared" si="18"/>
        <v>11.008272566440343</v>
      </c>
      <c r="K58">
        <f t="shared" si="19"/>
        <v>55.107478583351508</v>
      </c>
    </row>
    <row r="59" spans="3:13" x14ac:dyDescent="0.45">
      <c r="C59" s="21" t="s">
        <v>16</v>
      </c>
      <c r="D59" s="32">
        <f t="shared" si="14"/>
        <v>8.1503730000000019</v>
      </c>
      <c r="E59" s="32">
        <f t="shared" si="15"/>
        <v>15.2633938578794</v>
      </c>
      <c r="F59" s="23">
        <f t="shared" si="16"/>
        <v>8.58</v>
      </c>
      <c r="G59" s="23">
        <f t="shared" si="16"/>
        <v>214.5</v>
      </c>
      <c r="H59" s="24">
        <f t="shared" si="16"/>
        <v>12.870000000000001</v>
      </c>
      <c r="I59" s="25">
        <f t="shared" si="17"/>
        <v>214.5</v>
      </c>
      <c r="J59">
        <f t="shared" si="18"/>
        <v>11.035578566440343</v>
      </c>
      <c r="K59">
        <f t="shared" si="19"/>
        <v>55.244172583351506</v>
      </c>
      <c r="L59">
        <f>K59*0.9</f>
        <v>49.719755325016358</v>
      </c>
    </row>
    <row r="60" spans="3:13" x14ac:dyDescent="0.45">
      <c r="C60" s="21" t="s">
        <v>18</v>
      </c>
      <c r="D60" s="32">
        <f t="shared" si="14"/>
        <v>6.1771248000000014</v>
      </c>
      <c r="E60" s="32">
        <f t="shared" si="15"/>
        <v>15.2633938578794</v>
      </c>
      <c r="F60" s="23">
        <f t="shared" si="16"/>
        <v>8.58</v>
      </c>
      <c r="G60" s="23">
        <f t="shared" si="16"/>
        <v>214.5</v>
      </c>
      <c r="H60" s="24">
        <f t="shared" si="16"/>
        <v>12.870000000000001</v>
      </c>
      <c r="I60" s="25">
        <f t="shared" si="17"/>
        <v>214.5</v>
      </c>
      <c r="J60">
        <f t="shared" si="18"/>
        <v>10.989624566440343</v>
      </c>
      <c r="K60">
        <f t="shared" si="19"/>
        <v>55.014126583351505</v>
      </c>
    </row>
    <row r="61" spans="3:13" x14ac:dyDescent="0.45">
      <c r="C61" s="21" t="s">
        <v>20</v>
      </c>
      <c r="D61" s="32">
        <f t="shared" si="14"/>
        <v>37.520313600000001</v>
      </c>
      <c r="E61" s="32">
        <f t="shared" si="15"/>
        <v>15.2633938578794</v>
      </c>
      <c r="F61" s="23">
        <f t="shared" si="16"/>
        <v>8.58</v>
      </c>
      <c r="G61" s="23">
        <f t="shared" si="16"/>
        <v>214.5</v>
      </c>
      <c r="H61" s="24">
        <f t="shared" si="16"/>
        <v>12.870000000000001</v>
      </c>
      <c r="I61" s="25">
        <f t="shared" si="17"/>
        <v>214.5</v>
      </c>
      <c r="J61">
        <f t="shared" si="18"/>
        <v>11.719560566440341</v>
      </c>
      <c r="K61">
        <f t="shared" si="19"/>
        <v>58.668190583351503</v>
      </c>
    </row>
    <row r="62" spans="3:13" x14ac:dyDescent="0.45">
      <c r="C62" s="21" t="s">
        <v>22</v>
      </c>
      <c r="D62" s="32">
        <f t="shared" si="14"/>
        <v>8.4077532000000001</v>
      </c>
      <c r="E62" s="32">
        <f t="shared" si="15"/>
        <v>15.2633938578794</v>
      </c>
      <c r="F62" s="23">
        <f t="shared" si="16"/>
        <v>8.58</v>
      </c>
      <c r="G62" s="23">
        <f t="shared" si="16"/>
        <v>214.5</v>
      </c>
      <c r="H62" s="24">
        <f t="shared" si="16"/>
        <v>12.870000000000001</v>
      </c>
      <c r="I62" s="25">
        <f t="shared" si="17"/>
        <v>214.5</v>
      </c>
      <c r="J62">
        <f t="shared" si="18"/>
        <v>11.041572566440342</v>
      </c>
      <c r="K62">
        <f t="shared" si="19"/>
        <v>55.274178583351507</v>
      </c>
    </row>
    <row r="63" spans="3:13" x14ac:dyDescent="0.45">
      <c r="C63" s="22" t="s">
        <v>24</v>
      </c>
      <c r="D63" s="32">
        <f t="shared" si="14"/>
        <v>0</v>
      </c>
      <c r="E63" s="32">
        <f>O$45+P45*2/3</f>
        <v>13.308354949242645</v>
      </c>
      <c r="F63" s="23">
        <f t="shared" si="16"/>
        <v>7.48</v>
      </c>
      <c r="G63" s="23">
        <f t="shared" si="16"/>
        <v>187</v>
      </c>
      <c r="H63" s="24">
        <f t="shared" si="16"/>
        <v>11.219999999999999</v>
      </c>
      <c r="I63" s="25">
        <f t="shared" si="17"/>
        <v>187</v>
      </c>
      <c r="J63">
        <f t="shared" si="18"/>
        <v>10.844344626634083</v>
      </c>
      <c r="K63">
        <f t="shared" si="19"/>
        <v>54.286854332129181</v>
      </c>
    </row>
    <row r="64" spans="3:13" x14ac:dyDescent="0.45">
      <c r="C64" s="22" t="s">
        <v>26</v>
      </c>
      <c r="D64" s="32">
        <v>0</v>
      </c>
      <c r="E64" s="32">
        <v>0</v>
      </c>
      <c r="F64" s="23">
        <v>0</v>
      </c>
      <c r="G64" s="23">
        <v>0</v>
      </c>
      <c r="H64" s="24">
        <v>0</v>
      </c>
      <c r="I64" s="25">
        <v>0</v>
      </c>
    </row>
    <row r="65" spans="3:9" x14ac:dyDescent="0.45">
      <c r="C65" s="31" t="s">
        <v>55</v>
      </c>
      <c r="D65" s="23">
        <f>SUM(D53:D64)</f>
        <v>102.43731960000002</v>
      </c>
      <c r="E65" s="23">
        <f t="shared" ref="E65:I65" si="20">SUM(E53:E64)</f>
        <v>165.94229352803669</v>
      </c>
      <c r="F65" s="23">
        <f t="shared" si="20"/>
        <v>93.28</v>
      </c>
      <c r="G65" s="23">
        <f t="shared" si="20"/>
        <v>2332</v>
      </c>
      <c r="H65" s="24">
        <f>SUM(H53:H64)</f>
        <v>139.92000000000002</v>
      </c>
      <c r="I65" s="25">
        <f t="shared" ref="I65" si="21">SUM(I53:I64)</f>
        <v>2332</v>
      </c>
    </row>
    <row r="66" spans="3:9" ht="15.4" thickBot="1" x14ac:dyDescent="0.5">
      <c r="C66" s="30" t="s">
        <v>58</v>
      </c>
      <c r="D66" s="28">
        <f>D30+D48</f>
        <v>45.8</v>
      </c>
      <c r="E66" s="28"/>
      <c r="F66" s="28"/>
      <c r="G66" s="28"/>
      <c r="H66" s="28"/>
      <c r="I66" s="2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2026-10-07T15:43:40Z</dcterms:modified>
</cp:coreProperties>
</file>