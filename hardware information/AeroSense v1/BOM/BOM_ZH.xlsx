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e14d2a15b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baf38fec84f6c"/>
    <x:sheet xmlns:r="http://schemas.openxmlformats.org/officeDocument/2006/relationships" name="Printed" sheetId="2" r:id="R1669c53771e34571"/>
    <x:sheet xmlns:r="http://schemas.openxmlformats.org/officeDocument/2006/relationships" name="Purchase" sheetId="3" r:id="Rb214626fccef4e79"/>
    <x:sheet xmlns:r="http://schemas.openxmlformats.org/officeDocument/2006/relationships" name="PCB" sheetId="4" r:id="R55a07e600216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0"/>
      <x:color rgb="FF243746"/>
      <x:name val="Microsoft JhengHei"/>
    </x:font>
    <x:font>
      <x:b/>
      <x:sz val="16"/>
      <x:color rgb="FF243746"/>
      <x:name val="Microsoft JhengHei"/>
    </x:font>
    <x:font>
      <x:b/>
      <x:sz val="10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132bed8ba4d3c" /><Relationship Type="http://schemas.openxmlformats.org/officeDocument/2006/relationships/theme" Target="/xl/theme/theme1.xml" Id="R0bc4e1fe76a2450a" /><Relationship Type="http://schemas.openxmlformats.org/officeDocument/2006/relationships/sharedStrings" Target="/xl/sharedStrings.xml" Id="Rfe422b7b8e2e4c5b" /><Relationship Type="http://schemas.openxmlformats.org/officeDocument/2006/relationships/worksheet" Target="/xl/worksheets/sheet1.xml" Id="Rdf5baf38fec84f6c" /><Relationship Type="http://schemas.openxmlformats.org/officeDocument/2006/relationships/worksheet" Target="/xl/worksheets/sheet2.xml" Id="R1669c53771e34571" /><Relationship Type="http://schemas.openxmlformats.org/officeDocument/2006/relationships/worksheet" Target="/xl/worksheets/sheet3.xml" Id="Rb214626fccef4e79" /><Relationship Type="http://schemas.openxmlformats.org/officeDocument/2006/relationships/worksheet" Target="/xl/worksheets/sheet4.xml" Id="R55a07e60021645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2" hidden="0" customWidth="1"/>
    <x:col min="3" max="3" width="22" hidden="0" customWidth="1"/>
    <x:col min="4" max="4" width="4" hidden="0" customWidth="1"/>
    <x:col min="5" max="5" width="43" hidden="0" customWidth="1"/>
    <x:col min="6" max="6" width="1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AeroSense 完整材料成本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項目</x:v>
      </x:c>
      <x:c r="B4" s="6" t="str">
        <x:v>低估算 TWD</x:v>
      </x:c>
      <x:c r="C4" s="6" t="str">
        <x:v>高估算 TWD</x:v>
      </x:c>
      <x:c r="D4" s="2"/>
      <x:c r="E4" s="6" t="str">
        <x:v>可修改假設</x:v>
      </x:c>
      <x:c r="F4" s="6" t="str">
        <x:v>Value</x:v>
      </x:c>
      <x:c r="G4" s="2"/>
      <x:c r="H4" s="2"/>
      <x:c r="I4" s="2"/>
      <x:c r="J4" s="2"/>
      <x:c r="K4" s="2"/>
      <x:c r="L4" s="2"/>
      <x:c r="M4" s="2"/>
    </x:row>
    <x:row r="5" ht="30" customHeight="1">
      <x:c r="A5" s="2" t="str">
        <x:v>PCB兩片報價（含設計／開機）</x:v>
      </x:c>
      <x:c r="B5" s="9" t="n">
        <x:v>131250</x:v>
      </x:c>
      <x:c r="C5" s="9" t="n">
        <x:v>131250</x:v>
      </x:c>
      <x:c r="D5" s="2"/>
      <x:c r="E5" s="2" t="str">
        <x:v>PCB報價片數</x:v>
      </x:c>
      <x:c r="F5" s="7" t="n">
        <x:v>2</x:v>
      </x:c>
      <x:c r="G5" s="2"/>
      <x:c r="H5" s="2"/>
      <x:c r="I5" s="2"/>
      <x:c r="J5" s="2"/>
      <x:c r="K5" s="2"/>
      <x:c r="L5" s="2"/>
      <x:c r="M5" s="2"/>
    </x:row>
    <x:row r="6" ht="30" customHeight="1">
      <x:c r="A6" s="2" t="str">
        <x:v>本次報價平均每片</x:v>
      </x:c>
      <x:c r="B6" s="9" t="n">
        <x:f>B5/$F$5</x:f>
        <x:v>65625</x:v>
      </x:c>
      <x:c r="C6" s="9" t="n">
        <x:f>C5/$F$5</x:f>
        <x:v>65625</x:v>
      </x:c>
      <x:c r="D6" s="2"/>
      <x:c r="E6" s="2" t="str">
        <x:v>樹脂密度 g/cm3</x:v>
      </x:c>
      <x:c r="F6" s="7" t="n">
        <x:v>1.1</x:v>
      </x:c>
      <x:c r="G6" s="2"/>
      <x:c r="H6" s="2"/>
      <x:c r="I6" s="2"/>
      <x:c r="J6" s="2"/>
      <x:c r="K6" s="2"/>
      <x:c r="L6" s="2"/>
      <x:c r="M6" s="2"/>
    </x:row>
    <x:row r="7" ht="30" customHeight="1">
      <x:c r="A7" s="2" t="str">
        <x:v>八件列印耗材分攤</x:v>
      </x:c>
      <x:c r="B7" s="9" t="n">
        <x:f>SUM(Printed!G5:G12)</x:f>
        <x:v>713.9875879225503</x:v>
      </x:c>
      <x:c r="C7" s="9" t="n">
        <x:f>SUM(Printed!G5:G12)</x:f>
        <x:v>713.9875879225503</x:v>
      </x:c>
      <x:c r="D7" s="2"/>
      <x:c r="E7" s="2" t="str">
        <x:v>支撐與損耗倍率</x:v>
      </x:c>
      <x:c r="F7" s="7" t="n">
        <x:v>1.35</x:v>
      </x:c>
      <x:c r="G7" s="2"/>
      <x:c r="H7" s="2"/>
      <x:c r="I7" s="2"/>
      <x:c r="J7" s="2"/>
      <x:c r="K7" s="2"/>
      <x:c r="L7" s="2"/>
      <x:c r="M7" s="2"/>
    </x:row>
    <x:row r="8" ht="30" customHeight="1">
      <x:c r="A8" s="2" t="str">
        <x:v>核心五金與風扇</x:v>
      </x:c>
      <x:c r="B8" s="9" t="n">
        <x:f>IF(COUNTIFS(Purchase!B5:B26,"Core",Purchase!I5:I26,"待報價")&gt;0,"待報價",SUMIFS(Purchase!G5:G26,Purchase!B5:B26,"Core"))</x:f>
        <x:v>269.7</x:v>
      </x:c>
      <x:c r="C8" s="9" t="n">
        <x:f>IF(COUNTIFS(Purchase!B5:B26,"Core",Purchase!I5:I26,"待報價")&gt;0,"待報價",SUMIFS(Purchase!H5:H26,Purchase!B5:B26,"Core"))</x:f>
        <x:v>452.7</x:v>
      </x:c>
      <x:c r="D8" s="2"/>
      <x:c r="E8" s="2" t="str">
        <x:v>PC/GF-like Black TWD/kg</x:v>
      </x:c>
      <x:c r="F8" s="7" t="n">
        <x:v>2200</x:v>
      </x:c>
      <x:c r="G8" s="2"/>
      <x:c r="H8" s="2"/>
      <x:c r="I8" s="2"/>
      <x:c r="J8" s="2"/>
      <x:c r="K8" s="2"/>
      <x:c r="L8" s="2"/>
      <x:c r="M8" s="2"/>
    </x:row>
    <x:row r="9" ht="30" customHeight="1">
      <x:c r="A9" s="2" t="str">
        <x:v>光學／氣路已估价小計</x:v>
      </x:c>
      <x:c r="B9" s="9" t="n">
        <x:f>SUMIFS(Purchase!G5:G26,Purchase!B5:B26,"GasOptics")</x:f>
        <x:v>140</x:v>
      </x:c>
      <x:c r="C9" s="9" t="n">
        <x:f>SUMIFS(Purchase!H5:H26,Purchase!B5:B26,"GasOptics")</x:f>
        <x:v>390</x:v>
      </x:c>
      <x:c r="D9" s="2"/>
      <x:c r="E9" s="2" t="str">
        <x:v>Aqua 8K Gray TWD/kg</x:v>
      </x:c>
      <x:c r="F9" s="7" t="n">
        <x:v>1090</x:v>
      </x:c>
      <x:c r="G9" s="2"/>
      <x:c r="H9" s="2"/>
      <x:c r="I9" s="2"/>
      <x:c r="J9" s="2"/>
      <x:c r="K9" s="2"/>
      <x:c r="L9" s="2"/>
      <x:c r="M9" s="2"/>
    </x:row>
    <x:row r="10" ht="30" customHeight="1">
      <x:c r="A10" s="2" t="str">
        <x:v>光學／氣路缺報價列數</x:v>
      </x:c>
      <x:c r="B10" s="11" t="n">
        <x:f>COUNTIFS(Purchase!B5:B26,"GasOptics",Purchase!I5:I26,"待報價")</x:f>
        <x:v>3</x:v>
      </x:c>
      <x:c r="C10" s="11" t="n">
        <x:f>COUNTIFS(Purchase!B5:B26,"GasOptics",Purchase!I5:I26,"待報價")</x:f>
        <x:v>3</x:v>
      </x:c>
      <x:c r="D10" s="2"/>
      <x:c r="E10" s="2" t="str">
        <x:v>Aqua Clear Plus TWD/kg</x:v>
      </x:c>
      <x:c r="F10" s="7" t="n">
        <x:v>940</x:v>
      </x:c>
      <x:c r="G10" s="2"/>
      <x:c r="H10" s="2"/>
      <x:c r="I10" s="2"/>
      <x:c r="J10" s="2"/>
      <x:c r="K10" s="2"/>
      <x:c r="L10" s="2"/>
      <x:c r="M10" s="2"/>
    </x:row>
    <x:row r="11" ht="30" customHeight="1">
      <x:c r="A11" s="2" t="str">
        <x:v>已知單機部分成本</x:v>
      </x:c>
      <x:c r="B11" s="9" t="n">
        <x:f>IF(ISNUMBER(B8),SUM(B6:B9),"待報價")</x:f>
        <x:v>66748.68758792254</x:v>
      </x:c>
      <x:c r="C11" s="9" t="n">
        <x:f>IF(ISNUMBER(C8),SUM(C6:C9),"待報價")</x:f>
        <x:v>67181.68758792254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30" customHeight="1">
      <x:c r="A12" s="12" t="str">
        <x:v>完整單機材料成本</x:v>
      </x:c>
      <x:c r="B12" s="13" t="str">
        <x:f>IF(AND(B10=0,ISNUMBER(B8)),B11,"待報價")</x:f>
        <x:v>待報價</x:v>
      </x:c>
      <x:c r="C12" s="13" t="str">
        <x:f>IF(AND(C10=0,ISNUMBER(C8)),C11,"待報價")</x:f>
        <x:v>待報價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30" customHeight="1">
      <x:c r="A13" s="12" t="str">
        <x:v>共用設備缺報價列數</x:v>
      </x:c>
      <x:c r="B13" s="14" t="n">
        <x:f>COUNTIFS(Purchase!B5:B26,"SharedLab",Purchase!I5:I26,"待報價")</x:f>
        <x:v>5</x:v>
      </x:c>
      <x:c r="C13" s="14" t="n">
        <x:f>COUNTIFS(Purchase!B5:B26,"SharedLab",Purchase!I5:I26,"待報價")</x:f>
        <x:v>5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0" customHeight="1">
      <x:c r="A14" s="12" t="str">
        <x:v>完整重現系統成本</x:v>
      </x:c>
      <x:c r="B14" s="13" t="str">
        <x:f>IF(AND(B10=0,B13=0,ISNUMBER(B8)),SUM(B11,SUMIFS(Purchase!G5:G26,Purchase!B5:B26,"SharedLab")),"待報價")</x:f>
        <x:v>待報價</x:v>
      </x:c>
      <x:c r="C14" s="13" t="str">
        <x:f>IF(AND(C10=0,C13=0,ISNUMBER(C8)),SUM(C11,SUMIFS(Purchase!H5:H26,Purchase!B5:B26,"SharedLab")),"待報價")</x:f>
        <x:v>待報價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30" customHeight="1">
      <x:c r="A18" s="2" t="str">
        <x:v>報價包含設計及開機。65,625不是量產單價；PCB子料不重複加總。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30" customHeight="1">
      <x:c r="A19" s="2" t="str">
        <x:v>已知部分成本不是完整總價。未知價格留白，不用0替代。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30" customHeight="1">
      <x:c r="A20" s="2" t="str">
        <x:v>耗材分攤不等於整瓶或整包購買的现金支出，未含運費、稅差及工時。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30" customHeight="1">
      <x:c r="A21" s="2" t="str">
        <x:v>孔板一體內蓋供乾式測試。可清潔二件內蓋替代時總列印件數9。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30" customHeight="1">
      <x:c r="A22" s="2" t="str">
        <x:v>二件內蓋改用2顆M3×12手轉螺絲、另裁1片密封圈；不得與原內蓋同時加算。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30" customHeight="1">
      <x:c r="A23" s="2" t="str">
        <x:v>各井液體分開、氣相共用。沒有加購四組氣閥或額外狀態燈。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0" customHeight="1">
      <x:c r="A24" s="2" t="str">
        <x:v>Core／GasOptics是每台材料；SharedLab可共用；Conditional需試驗判斷。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30" customHeight="1">
      <x:c r="A25" s="2" t="str">
        <x:v>價格基準：2026-09-25既有標價與預算，非本次供應商報價。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3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3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3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3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9" hidden="0" customWidth="1"/>
    <x:col min="4" max="4" width="16" hidden="0" customWidth="1"/>
    <x:col min="5" max="5" width="18" hidden="0" customWidth="1"/>
    <x:col min="6" max="6" width="18" hidden="0" customWidth="1"/>
    <x:col min="7" max="7" width="21" hidden="0" customWidth="1"/>
    <x:col min="8" max="8" width="4" hidden="0" customWidth="1"/>
    <x:col min="9" max="9" width="9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STL 列印清單與耗材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STL</x:v>
      </x:c>
      <x:c r="B4" s="6" t="str">
        <x:v>材料</x:v>
      </x:c>
      <x:c r="C4" s="6" t="str">
        <x:v>數量</x:v>
      </x:c>
      <x:c r="D4" s="6" t="str">
        <x:v>cm3</x:v>
      </x:c>
      <x:c r="E4" s="6" t="str">
        <x:v>估計耗材 g</x:v>
      </x:c>
      <x:c r="F4" s="6" t="str">
        <x:v>單價 TWD/kg</x:v>
      </x:c>
      <x:c r="G4" s="6" t="str">
        <x:v>分攤 TWD</x:v>
      </x:c>
      <x:c r="H4" s="2"/>
      <x:c r="I4" s="2"/>
      <x:c r="J4" s="2"/>
      <x:c r="K4" s="2"/>
      <x:c r="L4" s="2"/>
      <x:c r="M4" s="2"/>
    </x:row>
    <x:row r="5" ht="55" customHeight="1">
      <x:c r="A5" s="8" t="str">
        <x:v>01_integrated_body.stl</x:v>
      </x:c>
      <x:c r="B5" s="8" t="str">
        <x:v>PC/GF-like Black</x:v>
      </x:c>
      <x:c r="C5" s="2" t="n">
        <x:v>1</x:v>
      </x:c>
      <x:c r="D5" s="9" t="n">
        <x:v>122.84235251033648</x:v>
      </x:c>
      <x:c r="E5" s="9" t="n">
        <x:f>C5*D5*Summary!$F$6*Summary!$F$7</x:f>
        <x:v>182.4208934778497</x:v>
      </x:c>
      <x:c r="F5" s="9" t="n">
        <x:f>Summary!$F$8</x:f>
        <x:v>2200</x:v>
      </x:c>
      <x:c r="G5" s="9" t="n">
        <x:f>E5*F5/1000</x:f>
        <x:v>401.3259656512693</x:v>
      </x:c>
      <x:c r="H5" s="2"/>
      <x:c r="I5" s="2" t="str">
        <x:v>按組裝手冊用指定樹脂；未列支撐模型，成本已含1.35損耗假設。</x:v>
      </x:c>
      <x:c r="J5" s="2"/>
      <x:c r="K5" s="2"/>
      <x:c r="L5" s="2"/>
      <x:c r="M5" s="2"/>
    </x:row>
    <x:row r="6" ht="55" customHeight="1">
      <x:c r="A6" s="8" t="str">
        <x:v>02_service_tray.stl</x:v>
      </x:c>
      <x:c r="B6" s="8" t="str">
        <x:v>Aqua 8K Gray</x:v>
      </x:c>
      <x:c r="C6" s="2" t="n">
        <x:v>1</x:v>
      </x:c>
      <x:c r="D6" s="9" t="n">
        <x:v>44.65526506748097</x:v>
      </x:c>
      <x:c r="E6" s="9" t="n">
        <x:f>C6*D6*Summary!$F$6*Summary!$F$7</x:f>
        <x:v>66.31306862520924</x:v>
      </x:c>
      <x:c r="F6" s="9" t="n">
        <x:f>Summary!$F$9</x:f>
        <x:v>1090</x:v>
      </x:c>
      <x:c r="G6" s="9" t="n">
        <x:f>E6*F6/1000</x:f>
        <x:v>72.28124480147807</x:v>
      </x:c>
      <x:c r="H6" s="2"/>
      <x:c r="I6" s="2" t="str">
        <x:v>按組裝手冊用指定樹脂；未列支撐模型，成本已含1.35損耗假設。</x:v>
      </x:c>
      <x:c r="J6" s="2"/>
      <x:c r="K6" s="2"/>
      <x:c r="L6" s="2"/>
      <x:c r="M6" s="2"/>
    </x:row>
    <x:row r="7" ht="55" customHeight="1">
      <x:c r="A7" s="8" t="str">
        <x:v>03_hinged_lid.stl</x:v>
      </x:c>
      <x:c r="B7" s="8" t="str">
        <x:v>PC/GF-like Black</x:v>
      </x:c>
      <x:c r="C7" s="2" t="n">
        <x:v>1</x:v>
      </x:c>
      <x:c r="D7" s="9" t="n">
        <x:v>62.42305533610413</x:v>
      </x:c>
      <x:c r="E7" s="9" t="n">
        <x:f>C7*D7*Summary!$F$6*Summary!$F$7</x:f>
        <x:v>92.69823717411464</x:v>
      </x:c>
      <x:c r="F7" s="9" t="n">
        <x:f>Summary!$F$8</x:f>
        <x:v>2200</x:v>
      </x:c>
      <x:c r="G7" s="9" t="n">
        <x:f>E7*F7/1000</x:f>
        <x:v>203.9361217830522</x:v>
      </x:c>
      <x:c r="H7" s="2"/>
      <x:c r="I7" s="2" t="str">
        <x:v>按組裝手冊用指定樹脂；未列支撐模型，成本已含1.35損耗假設。</x:v>
      </x:c>
      <x:c r="J7" s="2"/>
      <x:c r="K7" s="2"/>
      <x:c r="L7" s="2"/>
      <x:c r="M7" s="2"/>
    </x:row>
    <x:row r="8" ht="55" customHeight="1">
      <x:c r="A8" s="8" t="str">
        <x:v>04_common_gas_optical_cap.stl</x:v>
      </x:c>
      <x:c r="B8" s="8" t="str">
        <x:v>PC/GF-like Black</x:v>
      </x:c>
      <x:c r="C8" s="2" t="n">
        <x:v>1</x:v>
      </x:c>
      <x:c r="D8" s="9" t="n">
        <x:v>10.848594004758558</x:v>
      </x:c>
      <x:c r="E8" s="9" t="n">
        <x:f>C8*D8*Summary!$F$6*Summary!$F$7</x:f>
        <x:v>16.11016209706646</x:v>
      </x:c>
      <x:c r="F8" s="9" t="n">
        <x:f>Summary!$F$8</x:f>
        <x:v>2200</x:v>
      </x:c>
      <x:c r="G8" s="9" t="n">
        <x:f>E8*F8/1000</x:f>
        <x:v>35.44235661354621</x:v>
      </x:c>
      <x:c r="H8" s="2"/>
      <x:c r="I8" s="2" t="str">
        <x:v>按組裝手冊用指定樹脂；未列支撐模型，成本已含1.35損耗假設。</x:v>
      </x:c>
      <x:c r="J8" s="2"/>
      <x:c r="K8" s="2"/>
      <x:c r="L8" s="2"/>
      <x:c r="M8" s="2"/>
    </x:row>
    <x:row r="9" ht="55" customHeight="1">
      <x:c r="A9" s="8" t="str">
        <x:v>05_well_NE_CLEAR.stl</x:v>
      </x:c>
      <x:c r="B9" s="8" t="str">
        <x:v>Aqua Clear Plus (test)</x:v>
      </x:c>
      <x:c r="C9" s="2" t="n">
        <x:v>1</x:v>
      </x:c>
      <x:c r="D9" s="9" t="n">
        <x:v>0.17943604004668828</x:v>
      </x:c>
      <x:c r="E9" s="9" t="n">
        <x:f>C9*D9*Summary!$F$6*Summary!$F$7</x:f>
        <x:v>0.26646251946933214</x:v>
      </x:c>
      <x:c r="F9" s="9" t="n">
        <x:f>Summary!$F$10</x:f>
        <x:v>940</x:v>
      </x:c>
      <x:c r="G9" s="9" t="n">
        <x:f>E9*F9/1000</x:f>
        <x:v>0.2504747683011722</x:v>
      </x:c>
      <x:c r="H9" s="2"/>
      <x:c r="I9" s="2" t="str">
        <x:v>一體平底井；0.5 mm底厚、150 µL名目液量；只供材料與試裝驗證。</x:v>
      </x:c>
      <x:c r="J9" s="2"/>
      <x:c r="K9" s="2"/>
      <x:c r="L9" s="2"/>
      <x:c r="M9" s="2"/>
    </x:row>
    <x:row r="10" ht="55" customHeight="1">
      <x:c r="A10" s="8" t="str">
        <x:v>05_well_NW_CLEAR.stl</x:v>
      </x:c>
      <x:c r="B10" s="8" t="str">
        <x:v>Aqua Clear Plus (test)</x:v>
      </x:c>
      <x:c r="C10" s="2" t="n">
        <x:v>1</x:v>
      </x:c>
      <x:c r="D10" s="9" t="n">
        <x:v>0.1794360400466882</x:v>
      </x:c>
      <x:c r="E10" s="9" t="n">
        <x:f>C10*D10*Summary!$F$6*Summary!$F$7</x:f>
        <x:v>0.26646251946933197</x:v>
      </x:c>
      <x:c r="F10" s="9" t="n">
        <x:f>Summary!$F$10</x:f>
        <x:v>940</x:v>
      </x:c>
      <x:c r="G10" s="9" t="n">
        <x:f>E10*F10/1000</x:f>
        <x:v>0.25047476830117205</x:v>
      </x:c>
      <x:c r="H10" s="2"/>
      <x:c r="I10" s="2" t="str">
        <x:v>一體平底井；0.5 mm底厚、150 µL名目液量；只供材料與試裝驗證。</x:v>
      </x:c>
      <x:c r="J10" s="2"/>
      <x:c r="K10" s="2"/>
      <x:c r="L10" s="2"/>
      <x:c r="M10" s="2"/>
    </x:row>
    <x:row r="11" ht="55" customHeight="1">
      <x:c r="A11" s="8" t="str">
        <x:v>05_well_SE_CLEAR.stl</x:v>
      </x:c>
      <x:c r="B11" s="8" t="str">
        <x:v>Aqua Clear Plus (test)</x:v>
      </x:c>
      <x:c r="C11" s="2" t="n">
        <x:v>1</x:v>
      </x:c>
      <x:c r="D11" s="9" t="n">
        <x:v>0.17943604004668826</x:v>
      </x:c>
      <x:c r="E11" s="9" t="n">
        <x:f>C11*D11*Summary!$F$6*Summary!$F$7</x:f>
        <x:v>0.26646251946933214</x:v>
      </x:c>
      <x:c r="F11" s="9" t="n">
        <x:f>Summary!$F$10</x:f>
        <x:v>940</x:v>
      </x:c>
      <x:c r="G11" s="9" t="n">
        <x:f>E11*F11/1000</x:f>
        <x:v>0.2504747683011722</x:v>
      </x:c>
      <x:c r="H11" s="2"/>
      <x:c r="I11" s="2" t="str">
        <x:v>一體平底井；0.5 mm底厚、150 µL名目液量；只供材料與試裝驗證。</x:v>
      </x:c>
      <x:c r="J11" s="2"/>
      <x:c r="K11" s="2"/>
      <x:c r="L11" s="2"/>
      <x:c r="M11" s="2"/>
    </x:row>
    <x:row r="12" ht="55" customHeight="1">
      <x:c r="A12" s="8" t="str">
        <x:v>05_well_SW_CLEAR.stl</x:v>
      </x:c>
      <x:c r="B12" s="8" t="str">
        <x:v>Aqua Clear Plus (test)</x:v>
      </x:c>
      <x:c r="C12" s="2" t="n">
        <x:v>1</x:v>
      </x:c>
      <x:c r="D12" s="9" t="n">
        <x:v>0.17943604004668817</x:v>
      </x:c>
      <x:c r="E12" s="9" t="n">
        <x:f>C12*D12*Summary!$F$6*Summary!$F$7</x:f>
        <x:v>0.26646251946933197</x:v>
      </x:c>
      <x:c r="F12" s="9" t="n">
        <x:f>Summary!$F$10</x:f>
        <x:v>940</x:v>
      </x:c>
      <x:c r="G12" s="9" t="n">
        <x:f>E12*F12/1000</x:f>
        <x:v>0.25047476830117205</x:v>
      </x:c>
      <x:c r="H12" s="2"/>
      <x:c r="I12" s="2" t="str">
        <x:v>一體平底井；0.5 mm底厚、150 µL名目液量；只供材料與試裝驗證。</x:v>
      </x:c>
      <x:c r="J12" s="2"/>
      <x:c r="K12" s="2"/>
      <x:c r="L12" s="2"/>
      <x:c r="M12" s="2"/>
    </x:row>
    <x:row r="13" ht="3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0" customHeight="1">
      <x:c r="A14" s="2" t="str">
        <x:v>替代04：下列兩件取代原一件，不加進八件總和。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55" customHeight="1">
      <x:c r="A15" s="8" t="str">
        <x:v>OPTION/04_split_lower_BLACK.stl</x:v>
      </x:c>
      <x:c r="B15" s="8" t="str">
        <x:v>PC/GF-like Black</x:v>
      </x:c>
      <x:c r="C15" s="2" t="n">
        <x:v>1</x:v>
      </x:c>
      <x:c r="D15" s="9" t="n">
        <x:v>5.899391872</x:v>
      </x:c>
      <x:c r="E15" s="9" t="n">
        <x:f>C15*D15*Summary!$F$6*Summary!$F$7</x:f>
        <x:v>8.760596929920002</x:v>
      </x:c>
      <x:c r="F15" s="9" t="n">
        <x:f>Summary!$F$8</x:f>
        <x:v>2200</x:v>
      </x:c>
      <x:c r="G15" s="9" t="n">
        <x:f>E15*F15/1000</x:f>
        <x:v>19.273313245824003</x:v>
      </x:c>
      <x:c r="H15" s="2"/>
      <x:c r="I15" s="2"/>
      <x:c r="J15" s="2"/>
      <x:c r="K15" s="2"/>
      <x:c r="L15" s="2"/>
      <x:c r="M15" s="2"/>
    </x:row>
    <x:row r="16" ht="55" customHeight="1">
      <x:c r="A16" s="8" t="str">
        <x:v>OPTION/04_split_upper_BLACK.stl</x:v>
      </x:c>
      <x:c r="B16" s="8" t="str">
        <x:v>PC/GF-like Black</x:v>
      </x:c>
      <x:c r="C16" s="2" t="n">
        <x:v>1</x:v>
      </x:c>
      <x:c r="D16" s="9" t="n">
        <x:v>4.985534655</x:v>
      </x:c>
      <x:c r="E16" s="9" t="n">
        <x:f>C16*D16*Summary!$F$6*Summary!$F$7</x:f>
        <x:v>7.403518962675002</x:v>
      </x:c>
      <x:c r="F16" s="9" t="n">
        <x:f>Summary!$F$8</x:f>
        <x:v>2200</x:v>
      </x:c>
      <x:c r="G16" s="9" t="n">
        <x:f>E16*F16/1000</x:f>
        <x:v>16.287741717885005</x:v>
      </x:c>
      <x:c r="H16" s="2"/>
      <x:c r="I16" s="2"/>
      <x:c r="J16" s="2"/>
      <x:c r="K16" s="2"/>
      <x:c r="L16" s="2"/>
      <x:c r="M1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42" hidden="0" customWidth="1"/>
    <x:col min="4" max="4" width="9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6" hidden="0" customWidth="1"/>
    <x:col min="10" max="10" width="4" hidden="0" customWidth="1"/>
    <x:col min="11" max="11" width="100" hidden="0" customWidth="1"/>
    <x:col min="12" max="12" width="9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其他採購與共用設備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ID</x:v>
      </x:c>
      <x:c r="B4" s="6" t="str">
        <x:v>範圍</x:v>
      </x:c>
      <x:c r="C4" s="6" t="str">
        <x:v>品名</x:v>
      </x:c>
      <x:c r="D4" s="6" t="str">
        <x:v>數量</x:v>
      </x:c>
      <x:c r="E4" s="6" t="str">
        <x:v>單價低</x:v>
      </x:c>
      <x:c r="F4" s="6" t="str">
        <x:v>單價高</x:v>
      </x:c>
      <x:c r="G4" s="6" t="str">
        <x:v>小計低</x:v>
      </x:c>
      <x:c r="H4" s="6" t="str">
        <x:v>小計高</x:v>
      </x:c>
      <x:c r="I4" s="6" t="str">
        <x:v>價格狀態</x:v>
      </x:c>
      <x:c r="J4" s="2"/>
      <x:c r="K4" s="2" t="str">
        <x:v>規格與條件</x:v>
      </x:c>
      <x:c r="L4" s="2" t="str">
        <x:v>價格來源與日期</x:v>
      </x:c>
      <x:c r="M4" s="2"/>
    </x:row>
    <x:row r="5" ht="50" customHeight="1">
      <x:c r="A5" s="2" t="str">
        <x:v>F01</x:v>
      </x:c>
      <x:c r="B5" s="2" t="str">
        <x:v>Core</x:v>
      </x:c>
      <x:c r="C5" s="8" t="str">
        <x:v>5 V 40×40×10 mm 風扇</x:v>
      </x:c>
      <x:c r="D5" s="2" t="n">
        <x:v>1</x:v>
      </x:c>
      <x:c r="E5" s="10" t="n">
        <x:v>161.7</x:v>
      </x:c>
      <x:c r="F5" s="10" t="n">
        <x:v>161.7</x:v>
      </x:c>
      <x:c r="G5" s="9" t="n">
        <x:f>IF(AND(ISNUMBER(E5),ISNUMBER(F5)),D5*E5,"待報價")</x:f>
        <x:v>161.7</x:v>
      </x:c>
      <x:c r="H5" s="9" t="n">
        <x:f>IF(AND(ISNUMBER(E5),ISNUMBER(F5)),D5*F5,"待報價")</x:f>
        <x:v>161.7</x:v>
      </x:c>
      <x:c r="I5" s="2" t="str">
        <x:f>IF(AND(ISNUMBER(E5),ISNUMBER(F5)),"預算／標價","待報價")</x:f>
        <x:v>預算／標價</x:v>
      </x:c>
      <x:c r="J5" s="2"/>
      <x:c r="K5" s="2" t="str">
        <x:v>5V、40×40×10 mm，孔距32 mm。候選最大157 mA；需廠商確認供電及接法。</x:v>
      </x:c>
      <x:c r="L5" s="2" t="str">
        <x:v>RS 2025400 viewed 2026-09-24 incl tax; out of stock then. https://twcn.rs-online.com/web/p/axial-fans/2025400</x:v>
      </x:c>
      <x:c r="M5" s="2"/>
    </x:row>
    <x:row r="6" ht="50" customHeight="1">
      <x:c r="A6" s="2" t="str">
        <x:v>H01</x:v>
      </x:c>
      <x:c r="B6" s="2" t="str">
        <x:v>Core</x:v>
      </x:c>
      <x:c r="C6" s="8" t="str">
        <x:v>M3×10 內六角螺絲</x:v>
      </x:c>
      <x:c r="D6" s="2" t="n">
        <x:v>8</x:v>
      </x:c>
      <x:c r="E6" s="10" t="n">
        <x:v>2</x:v>
      </x:c>
      <x:c r="F6" s="10" t="n">
        <x:v>5</x:v>
      </x:c>
      <x:c r="G6" s="9" t="n">
        <x:f>IF(AND(ISNUMBER(E6),ISNUMBER(F6)),D6*E6,"待報價")</x:f>
        <x:v>16</x:v>
      </x:c>
      <x:c r="H6" s="9" t="n">
        <x:f>IF(AND(ISNUMBER(E6),ISNUMBER(F6)),D6*F6,"待報價")</x:f>
        <x:v>40</x:v>
      </x:c>
      <x:c r="I6" s="2" t="str">
        <x:f>IF(AND(ISNUMBER(E6),ISNUMBER(F6)),"預算／標價","待報價")</x:f>
        <x:v>預算／標價</x:v>
      </x:c>
      <x:c r="J6" s="2"/>
      <x:c r="K6" s="2" t="str">
        <x:v>8顆：4顆固定底座、4顆固定PCB；PCB配0.5 mm墊片。</x:v>
      </x:c>
      <x:c r="L6" s="2" t="str">
        <x:v>Planning allowance, NOT supplier quote / 預算假設，非報價</x:v>
      </x:c>
      <x:c r="M6" s="2"/>
    </x:row>
    <x:row r="7" ht="50" customHeight="1">
      <x:c r="A7" s="2" t="str">
        <x:v>H03</x:v>
      </x:c>
      <x:c r="B7" s="2" t="str">
        <x:v>Core</x:v>
      </x:c>
      <x:c r="C7" s="8" t="str">
        <x:v>M3×10 手轉螺絲</x:v>
      </x:c>
      <x:c r="D7" s="2" t="n">
        <x:v>2</x:v>
      </x:c>
      <x:c r="E7" s="10" t="n">
        <x:v>8</x:v>
      </x:c>
      <x:c r="F7" s="10" t="n">
        <x:v>20</x:v>
      </x:c>
      <x:c r="G7" s="9" t="n">
        <x:f>IF(AND(ISNUMBER(E7),ISNUMBER(F7)),D7*E7,"待報價")</x:f>
        <x:v>16</x:v>
      </x:c>
      <x:c r="H7" s="9" t="n">
        <x:f>IF(AND(ISNUMBER(E7),ISNUMBER(F7)),D7*F7,"待報價")</x:f>
        <x:v>40</x:v>
      </x:c>
      <x:c r="I7" s="2" t="str">
        <x:f>IF(AND(ISNUMBER(E7),ISNUMBER(F7)),"預算／標價","待報價")</x:f>
        <x:v>預算／標價</x:v>
      </x:c>
      <x:c r="J7" s="2"/>
      <x:c r="K7" s="2" t="str">
        <x:v>2顆固定一體內蓋，壓到硬止擋即可。</x:v>
      </x:c>
      <x:c r="L7" s="2" t="str">
        <x:v>Planning allowance, NOT supplier quote / 預算假設，非報價</x:v>
      </x:c>
      <x:c r="M7" s="2"/>
    </x:row>
    <x:row r="8" ht="50" customHeight="1">
      <x:c r="A8" s="2" t="str">
        <x:v>H04</x:v>
      </x:c>
      <x:c r="B8" s="2" t="str">
        <x:v>Core</x:v>
      </x:c>
      <x:c r="C8" s="8" t="str">
        <x:v>M3×12 手轉螺絲</x:v>
      </x:c>
      <x:c r="D8" s="2" t="n">
        <x:v>1</x:v>
      </x:c>
      <x:c r="E8" s="10" t="n">
        <x:v>8</x:v>
      </x:c>
      <x:c r="F8" s="10" t="n">
        <x:v>20</x:v>
      </x:c>
      <x:c r="G8" s="9" t="n">
        <x:f>IF(AND(ISNUMBER(E8),ISNUMBER(F8)),D8*E8,"待報價")</x:f>
        <x:v>8</x:v>
      </x:c>
      <x:c r="H8" s="9" t="n">
        <x:f>IF(AND(ISNUMBER(E8),ISNUMBER(F8)),D8*F8,"待報價")</x:f>
        <x:v>20</x:v>
      </x:c>
      <x:c r="I8" s="2" t="str">
        <x:f>IF(AND(ISNUMBER(E8),ISNUMBER(F8)),"預算／標價","待報價")</x:f>
        <x:v>預算／標價</x:v>
      </x:c>
      <x:c r="J8" s="2"/>
      <x:c r="K8" s="2" t="str">
        <x:v>1顆固定外蓋前端，不加外蓋氣密條。</x:v>
      </x:c>
      <x:c r="L8" s="2" t="str">
        <x:v>Planning allowance, NOT supplier quote / 預算假設，非報價</x:v>
      </x:c>
      <x:c r="M8" s="2"/>
    </x:row>
    <x:row r="9" ht="50" customHeight="1">
      <x:c r="A9" s="2" t="str">
        <x:v>H05</x:v>
      </x:c>
      <x:c r="B9" s="2" t="str">
        <x:v>Core</x:v>
      </x:c>
      <x:c r="C9" s="8" t="str">
        <x:v>M3 六角螺帽</x:v>
      </x:c>
      <x:c r="D9" s="2" t="n">
        <x:v>11</x:v>
      </x:c>
      <x:c r="E9" s="10" t="n">
        <x:v>1</x:v>
      </x:c>
      <x:c r="F9" s="10" t="n">
        <x:v>3</x:v>
      </x:c>
      <x:c r="G9" s="9" t="n">
        <x:f>IF(AND(ISNUMBER(E9),ISNUMBER(F9)),D9*E9,"待報價")</x:f>
        <x:v>11</x:v>
      </x:c>
      <x:c r="H9" s="9" t="n">
        <x:f>IF(AND(ISNUMBER(E9),ISNUMBER(F9)),D9*F9,"待報價")</x:f>
        <x:v>33</x:v>
      </x:c>
      <x:c r="I9" s="2" t="str">
        <x:f>IF(AND(ISNUMBER(E9),ISNUMBER(F9)),"預算／標價","待報價")</x:f>
        <x:v>預算／標價</x:v>
      </x:c>
      <x:c r="J9" s="2"/>
      <x:c r="K9" s="2" t="str">
        <x:v>11顆：殼4、PCB4、內蓋2、外蓋1；對邊5.5 mm。</x:v>
      </x:c>
      <x:c r="L9" s="2" t="str">
        <x:v>Planning allowance, NOT supplier quote / 預算假設，非報價</x:v>
      </x:c>
      <x:c r="M9" s="2"/>
    </x:row>
    <x:row r="10" ht="50" customHeight="1">
      <x:c r="A10" s="2" t="str">
        <x:v>H06</x:v>
      </x:c>
      <x:c r="B10" s="2" t="str">
        <x:v>Core</x:v>
      </x:c>
      <x:c r="C10" s="8" t="str">
        <x:v>M3 平墊片</x:v>
      </x:c>
      <x:c r="D10" s="2" t="n">
        <x:v>4</x:v>
      </x:c>
      <x:c r="E10" s="10" t="n">
        <x:v>1</x:v>
      </x:c>
      <x:c r="F10" s="10" t="n">
        <x:v>3</x:v>
      </x:c>
      <x:c r="G10" s="9" t="n">
        <x:f>IF(AND(ISNUMBER(E10),ISNUMBER(F10)),D10*E10,"待報價")</x:f>
        <x:v>4</x:v>
      </x:c>
      <x:c r="H10" s="9" t="n">
        <x:f>IF(AND(ISNUMBER(E10),ISNUMBER(F10)),D10*F10,"待報價")</x:f>
        <x:v>12</x:v>
      </x:c>
      <x:c r="I10" s="2" t="str">
        <x:f>IF(AND(ISNUMBER(E10),ISNUMBER(F10)),"預算／標價","待報價")</x:f>
        <x:v>預算／標價</x:v>
      </x:c>
      <x:c r="J10" s="2"/>
      <x:c r="K10" s="2" t="str">
        <x:v>4片僅用於PCB螺絲頭，內徑3.2、外徑7、厚0.5 mm；確認板上避空。</x:v>
      </x:c>
      <x:c r="L10" s="2" t="str">
        <x:v>Planning allowance, NOT supplier quote / 預算假設，非報價</x:v>
      </x:c>
      <x:c r="M10" s="2"/>
    </x:row>
    <x:row r="11" ht="50" customHeight="1">
      <x:c r="A11" s="2" t="str">
        <x:v>H07</x:v>
      </x:c>
      <x:c r="B11" s="2" t="str">
        <x:v>Core</x:v>
      </x:c>
      <x:c r="C11" s="8" t="str">
        <x:v>M3×75 鉸鏈螺栓＋防鬆螺帽</x:v>
      </x:c>
      <x:c r="D11" s="2" t="n">
        <x:v>1</x:v>
      </x:c>
      <x:c r="E11" s="10" t="n">
        <x:v>20</x:v>
      </x:c>
      <x:c r="F11" s="10" t="n">
        <x:v>60</x:v>
      </x:c>
      <x:c r="G11" s="9" t="n">
        <x:f>IF(AND(ISNUMBER(E11),ISNUMBER(F11)),D11*E11,"待報價")</x:f>
        <x:v>20</x:v>
      </x:c>
      <x:c r="H11" s="9" t="n">
        <x:f>IF(AND(ISNUMBER(E11),ISNUMBER(F11)),D11*F11,"待報價")</x:f>
        <x:v>60</x:v>
      </x:c>
      <x:c r="I11" s="2" t="str">
        <x:f>IF(AND(ISNUMBER(E11),ISNUMBER(F11)),"預算／標價","待報價")</x:f>
        <x:v>預算／標價</x:v>
      </x:c>
      <x:c r="J11" s="2"/>
      <x:c r="K11" s="2" t="str">
        <x:v>3 mm直桿穿過鉸鏈；螺帽只防滑出，勿夾緊樹脂。</x:v>
      </x:c>
      <x:c r="L11" s="2" t="str">
        <x:v>Planning allowance, NOT supplier quote / 預算假設，非報價</x:v>
      </x:c>
      <x:c r="M11" s="2"/>
    </x:row>
    <x:row r="12" ht="50" customHeight="1">
      <x:c r="A12" s="2" t="str">
        <x:v>H08</x:v>
      </x:c>
      <x:c r="B12" s="2" t="str">
        <x:v>Core</x:v>
      </x:c>
      <x:c r="C12" s="8" t="str">
        <x:v>M3 鉸鏈墊片</x:v>
      </x:c>
      <x:c r="D12" s="2" t="n">
        <x:v>2</x:v>
      </x:c>
      <x:c r="E12" s="10" t="n">
        <x:v>1</x:v>
      </x:c>
      <x:c r="F12" s="10" t="n">
        <x:v>3</x:v>
      </x:c>
      <x:c r="G12" s="9" t="n">
        <x:f>IF(AND(ISNUMBER(E12),ISNUMBER(F12)),D12*E12,"待報價")</x:f>
        <x:v>2</x:v>
      </x:c>
      <x:c r="H12" s="9" t="n">
        <x:f>IF(AND(ISNUMBER(E12),ISNUMBER(F12)),D12*F12,"待報價")</x:f>
        <x:v>6</x:v>
      </x:c>
      <x:c r="I12" s="2" t="str">
        <x:f>IF(AND(ISNUMBER(E12),ISNUMBER(F12)),"預算／標價","待報價")</x:f>
        <x:v>預算／標價</x:v>
      </x:c>
      <x:c r="J12" s="2"/>
      <x:c r="K12" s="2" t="str">
        <x:v>鉸鏈兩端各1片，保留軸向自由間隙。</x:v>
      </x:c>
      <x:c r="L12" s="2" t="str">
        <x:v>Planning allowance, NOT supplier quote / 預算假設，非報價</x:v>
      </x:c>
      <x:c r="M12" s="2"/>
    </x:row>
    <x:row r="13" ht="50" customHeight="1">
      <x:c r="A13" s="2" t="str">
        <x:v>H09</x:v>
      </x:c>
      <x:c r="B13" s="2" t="str">
        <x:v>Core</x:v>
      </x:c>
      <x:c r="C13" s="8" t="str">
        <x:v>M4×20 風扇固定組</x:v>
      </x:c>
      <x:c r="D13" s="2" t="n">
        <x:v>4</x:v>
      </x:c>
      <x:c r="E13" s="10" t="n">
        <x:v>4</x:v>
      </x:c>
      <x:c r="F13" s="10" t="n">
        <x:v>10</x:v>
      </x:c>
      <x:c r="G13" s="9" t="n">
        <x:f>IF(AND(ISNUMBER(E13),ISNUMBER(F13)),D13*E13,"待報價")</x:f>
        <x:v>16</x:v>
      </x:c>
      <x:c r="H13" s="9" t="n">
        <x:f>IF(AND(ISNUMBER(E13),ISNUMBER(F13)),D13*F13,"待報價")</x:f>
        <x:v>40</x:v>
      </x:c>
      <x:c r="I13" s="2" t="str">
        <x:f>IF(AND(ISNUMBER(E13),ISNUMBER(F13)),"預算／標價","待報價")</x:f>
        <x:v>預算／標價</x:v>
      </x:c>
      <x:c r="J13" s="2"/>
      <x:c r="K13" s="2" t="str">
        <x:v>4組固定風扇；螺絲與螺帽最高Z20，局部PCB底面元件容許高度16 mm。</x:v>
      </x:c>
      <x:c r="L13" s="2" t="str">
        <x:v>Planning allowance, NOT supplier quote / 預算假設，非報價</x:v>
      </x:c>
      <x:c r="M13" s="2"/>
    </x:row>
    <x:row r="14" ht="50" customHeight="1">
      <x:c r="A14" s="2" t="str">
        <x:v>E01</x:v>
      </x:c>
      <x:c r="B14" s="2" t="str">
        <x:v>Core</x:v>
      </x:c>
      <x:c r="C14" s="8" t="str">
        <x:v>5 V 接線與絕緣</x:v>
      </x:c>
      <x:c r="D14" s="2" t="n">
        <x:v>1</x:v>
      </x:c>
      <x:c r="E14" s="10" t="n">
        <x:v>15</x:v>
      </x:c>
      <x:c r="F14" s="10" t="n">
        <x:v>40</x:v>
      </x:c>
      <x:c r="G14" s="9" t="n">
        <x:f>IF(AND(ISNUMBER(E14),ISNUMBER(F14)),D14*E14,"待報價")</x:f>
        <x:v>15</x:v>
      </x:c>
      <x:c r="H14" s="9" t="n">
        <x:f>IF(AND(ISNUMBER(E14),ISNUMBER(F14)),D14*F14,"待報價")</x:f>
        <x:v>40</x:v>
      </x:c>
      <x:c r="I14" s="2" t="str">
        <x:f>IF(AND(ISNUMBER(E14),ISNUMBER(F14)),"預算／標價","待報價")</x:f>
        <x:v>預算／標價</x:v>
      </x:c>
      <x:c r="J14" s="2"/>
      <x:c r="K14" s="2" t="str">
        <x:v>相容5V接線、絕緣及防拉扯；需確認焊點，沒有假設現成風扇插座。</x:v>
      </x:c>
      <x:c r="L14" s="2" t="str">
        <x:v>Planning allowance, NOT supplier quote / 預算假設，非報價</x:v>
      </x:c>
      <x:c r="M14" s="2"/>
    </x:row>
    <x:row r="15" ht="50" customHeight="1">
      <x:c r="A15" s="2" t="str">
        <x:v>S01</x:v>
      </x:c>
      <x:c r="B15" s="2" t="str">
        <x:v>GasOptics</x:v>
      </x:c>
      <x:c r="C15" s="8" t="str">
        <x:v>0.8 mm 不透光矽膠片</x:v>
      </x:c>
      <x:c r="D15" s="2" t="n">
        <x:v>1</x:v>
      </x:c>
      <x:c r="E15" s="10" t="n">
        <x:v>50</x:v>
      </x:c>
      <x:c r="F15" s="10" t="n">
        <x:v>150</x:v>
      </x:c>
      <x:c r="G15" s="9" t="n">
        <x:f>IF(AND(ISNUMBER(E15),ISNUMBER(F15)),D15*E15,"待報價")</x:f>
        <x:v>50</x:v>
      </x:c>
      <x:c r="H15" s="9" t="n">
        <x:f>IF(AND(ISNUMBER(E15),ISNUMBER(F15)),D15*F15,"待報價")</x:f>
        <x:v>150</x:v>
      </x:c>
      <x:c r="I15" s="2" t="str">
        <x:f>IF(AND(ISNUMBER(E15),ISNUMBER(F15)),"預算／標價","待報價")</x:f>
        <x:v>預算／標價</x:v>
      </x:c>
      <x:c r="J15" s="2"/>
      <x:c r="K15" s="2" t="str">
        <x:v>0.8 mm不透光矽膠片，裁四孔井密封片與PD圈，壓縮至0.6 mm。需驗證螢光、氣味吸附與回彈。</x:v>
      </x:c>
      <x:c r="L15" s="2" t="str">
        <x:v>Planning allowance, NOT supplier quote / 預算假設，非報價</x:v>
      </x:c>
      <x:c r="M15" s="2"/>
    </x:row>
    <x:row r="16" ht="50" customHeight="1">
      <x:c r="A16" s="2" t="str">
        <x:v>S02</x:v>
      </x:c>
      <x:c r="B16" s="2" t="str">
        <x:v>GasOptics</x:v>
      </x:c>
      <x:c r="C16" s="8" t="str">
        <x:v>乾區濾片固定材料</x:v>
      </x:c>
      <x:c r="D16" s="2" t="n">
        <x:v>1</x:v>
      </x:c>
      <x:c r="E16" s="10" t="n">
        <x:v>10</x:v>
      </x:c>
      <x:c r="F16" s="10" t="n">
        <x:v>40</x:v>
      </x:c>
      <x:c r="G16" s="9" t="n">
        <x:f>IF(AND(ISNUMBER(E16),ISNUMBER(F16)),D16*E16,"待報價")</x:f>
        <x:v>10</x:v>
      </x:c>
      <x:c r="H16" s="9" t="n">
        <x:f>IF(AND(ISNUMBER(E16),ISNUMBER(F16)),D16*F16,"待報價")</x:f>
        <x:v>40</x:v>
      </x:c>
      <x:c r="I16" s="2" t="str">
        <x:f>IF(AND(ISNUMBER(E16),ISNUMBER(F16)),"預算／標價","待報價")</x:f>
        <x:v>預算／標價</x:v>
      </x:c>
      <x:c r="J16" s="2"/>
      <x:c r="K16" s="2" t="str">
        <x:v>只在乾區固定濾片角落與線材；不能覆蓋光孔或接觸液體／氣流。</x:v>
      </x:c>
      <x:c r="L16" s="2" t="str">
        <x:v>Planning allowance, NOT supplier quote / 預算假設，非報價</x:v>
      </x:c>
      <x:c r="M16" s="2"/>
    </x:row>
    <x:row r="17" ht="50" customHeight="1">
      <x:c r="A17" s="2" t="str">
        <x:v>G01</x:v>
      </x:c>
      <x:c r="B17" s="2" t="str">
        <x:v>GasOptics</x:v>
      </x:c>
      <x:c r="C17" s="8" t="str">
        <x:v>疏水 0.2 µm 氣體濾器</x:v>
      </x:c>
      <x:c r="D17" s="2" t="n">
        <x:v>2</x:v>
      </x:c>
      <x:c r="E17" s="10"/>
      <x:c r="F17" s="10"/>
      <x:c r="G17" s="9" t="str">
        <x:f>IF(AND(ISNUMBER(E17),ISNUMBER(F17)),D17*E17,"待報價")</x:f>
        <x:v>待報價</x:v>
      </x:c>
      <x:c r="H17" s="9" t="str">
        <x:f>IF(AND(ISNUMBER(E17),ISNUMBER(F17)),D17*F17,"待報價")</x:f>
        <x:v>待報價</x:v>
      </x:c>
      <x:c r="I17" s="2" t="str">
        <x:f>IF(AND(ISNUMBER(E17),ISNUMBER(F17)),"預算／標價","待報價")</x:f>
        <x:v>待報價</x:v>
      </x:c>
      <x:c r="J17" s="2"/>
      <x:c r="K17" s="2" t="str">
        <x:v>進、排氣各1個疏水0.2 µm氣體濾器；型號待選，需確認壓降、接頭及氣味回收率。</x:v>
      </x:c>
      <x:c r="L17" s="2" t="str">
        <x:v>Planning allowance, NOT supplier quote / 預算假設，非報價</x:v>
      </x:c>
      <x:c r="M17" s="2"/>
    </x:row>
    <x:row r="18" ht="50" customHeight="1">
      <x:c r="A18" s="2" t="str">
        <x:v>G02</x:v>
      </x:c>
      <x:c r="B18" s="2" t="str">
        <x:v>GasOptics</x:v>
      </x:c>
      <x:c r="C18" s="8" t="str">
        <x:v>PTFE 氣管</x:v>
      </x:c>
      <x:c r="D18" s="2" t="n">
        <x:v>1</x:v>
      </x:c>
      <x:c r="E18" s="10" t="n">
        <x:v>80</x:v>
      </x:c>
      <x:c r="F18" s="10" t="n">
        <x:v>200</x:v>
      </x:c>
      <x:c r="G18" s="9" t="n">
        <x:f>IF(AND(ISNUMBER(E18),ISNUMBER(F18)),D18*E18,"待報價")</x:f>
        <x:v>80</x:v>
      </x:c>
      <x:c r="H18" s="9" t="n">
        <x:f>IF(AND(ISNUMBER(E18),ISNUMBER(F18)),D18*F18,"待報價")</x:f>
        <x:v>200</x:v>
      </x:c>
      <x:c r="I18" s="2" t="str">
        <x:f>IF(AND(ISNUMBER(E18),ISNUMBER(F18)),"預算／標價","待報價")</x:f>
        <x:v>預算／標價</x:v>
      </x:c>
      <x:c r="J18" s="2"/>
      <x:c r="K18" s="2" t="str">
        <x:v>PTFE管1 m裁切，內徑2外徑3 mm；濾器接頭不保證通用。</x:v>
      </x:c>
      <x:c r="L18" s="2" t="str">
        <x:v>Planning allowance, NOT supplier quote / 預算假設，非報價</x:v>
      </x:c>
      <x:c r="M18" s="2"/>
    </x:row>
    <x:row r="19" ht="50" customHeight="1">
      <x:c r="A19" s="2" t="str">
        <x:v>G03</x:v>
      </x:c>
      <x:c r="B19" s="2" t="str">
        <x:v>GasOptics</x:v>
      </x:c>
      <x:c r="C19" s="8" t="str">
        <x:v>軟管與接頭轉接組</x:v>
      </x:c>
      <x:c r="D19" s="2" t="n">
        <x:v>1</x:v>
      </x:c>
      <x:c r="E19" s="10"/>
      <x:c r="F19" s="10"/>
      <x:c r="G19" s="9" t="str">
        <x:f>IF(AND(ISNUMBER(E19),ISNUMBER(F19)),D19*E19,"待報價")</x:f>
        <x:v>待報價</x:v>
      </x:c>
      <x:c r="H19" s="9" t="str">
        <x:f>IF(AND(ISNUMBER(E19),ISNUMBER(F19)),D19*F19,"待報價")</x:f>
        <x:v>待報價</x:v>
      </x:c>
      <x:c r="I19" s="2" t="str">
        <x:f>IF(AND(ISNUMBER(E19),ISNUMBER(F19)),"預算／標價","待報價")</x:f>
        <x:v>待報價</x:v>
      </x:c>
      <x:c r="J19" s="2"/>
      <x:c r="K19" s="2" t="str">
        <x:v>兩段約30 mm矽膠軟管，內徑3外徑5，銜接外徑3.4/4接尾及PTFE。濾器轉接頭隨型號選。</x:v>
      </x:c>
      <x:c r="L19" s="2" t="str">
        <x:v>Planning allowance, NOT supplier quote / 預算假設，非報價</x:v>
      </x:c>
      <x:c r="M19" s="2"/>
    </x:row>
    <x:row r="20" ht="50" customHeight="1">
      <x:c r="A20" s="2" t="str">
        <x:v>O01</x:v>
      </x:c>
      <x:c r="B20" s="2" t="str">
        <x:v>GasOptics</x:v>
      </x:c>
      <x:c r="C20" s="8" t="str">
        <x:v>螢光偵測濾光片</x:v>
      </x:c>
      <x:c r="D20" s="2" t="n">
        <x:v>1</x:v>
      </x:c>
      <x:c r="E20" s="10"/>
      <x:c r="F20" s="10"/>
      <x:c r="G20" s="9" t="str">
        <x:f>IF(AND(ISNUMBER(E20),ISNUMBER(F20)),D20*E20,"待報價")</x:f>
        <x:v>待報價</x:v>
      </x:c>
      <x:c r="H20" s="9" t="str">
        <x:f>IF(AND(ISNUMBER(E20),ISNUMBER(F20)),D20*F20,"待報價")</x:f>
        <x:v>待報價</x:v>
      </x:c>
      <x:c r="I20" s="2" t="str">
        <x:f>IF(AND(ISNUMBER(E20),ISNUMBER(F20)),"預算／標價","待報價")</x:f>
        <x:v>待報價</x:v>
      </x:c>
      <x:c r="J20" s="2"/>
      <x:c r="K20" s="2" t="str">
        <x:v>濾片最大5.2×4.2×1.0 mm。須以LED完整波段與入射角範圍規範阻擋及透過率；尚無已確認現貨型號。</x:v>
      </x:c>
      <x:c r="L20" s="2" t="str">
        <x:v>Planning allowance, NOT supplier quote / 預算假設，非報價</x:v>
      </x:c>
      <x:c r="M20" s="2"/>
    </x:row>
    <x:row r="21" ht="50" customHeight="1">
      <x:c r="A21" s="2" t="str">
        <x:v>G04</x:v>
      </x:c>
      <x:c r="B21" s="2" t="str">
        <x:v>Conditional</x:v>
      </x:c>
      <x:c r="C21" s="8" t="str">
        <x:v>冷凝捕集器（視測試結果）</x:v>
      </x:c>
      <x:c r="D21" s="2" t="n">
        <x:v>1</x:v>
      </x:c>
      <x:c r="E21" s="10"/>
      <x:c r="F21" s="10"/>
      <x:c r="G21" s="9" t="str">
        <x:f>IF(AND(ISNUMBER(E21),ISNUMBER(F21)),D21*E21,"待報價")</x:f>
        <x:v>待報價</x:v>
      </x:c>
      <x:c r="H21" s="9" t="str">
        <x:f>IF(AND(ISNUMBER(E21),ISNUMBER(F21)),D21*F21,"待報價")</x:f>
        <x:v>待報價</x:v>
      </x:c>
      <x:c r="I21" s="2" t="str">
        <x:f>IF(AND(ISNUMBER(E21),ISNUMBER(F21)),"預算／標價","待報價")</x:f>
        <x:v>待報價</x:v>
      </x:c>
      <x:c r="J21" s="2"/>
      <x:c r="K21" s="2" t="str">
        <x:v>只有排气冷凝確實造成濾器濕潤時才增加；仍不得在排氣阻塞下運作。</x:v>
      </x:c>
      <x:c r="L21" s="2" t="str">
        <x:v>Planning allowance, NOT supplier quote / 預算假設，非報價</x:v>
      </x:c>
      <x:c r="M21" s="2"/>
    </x:row>
    <x:row r="22" ht="50" customHeight="1">
      <x:c r="A22" s="2" t="str">
        <x:v>E02</x:v>
      </x:c>
      <x:c r="B22" s="2" t="str">
        <x:v>SharedLab</x:v>
      </x:c>
      <x:c r="C22" s="8" t="str">
        <x:v>PCB 電源／電池／線材</x:v>
      </x:c>
      <x:c r="D22" s="2" t="n">
        <x:v>1</x:v>
      </x:c>
      <x:c r="E22" s="10"/>
      <x:c r="F22" s="10"/>
      <x:c r="G22" s="9" t="str">
        <x:f>IF(AND(ISNUMBER(E22),ISNUMBER(F22)),D22*E22,"待報價")</x:f>
        <x:v>待報價</x:v>
      </x:c>
      <x:c r="H22" s="9" t="str">
        <x:f>IF(AND(ISNUMBER(E22),ISNUMBER(F22)),D22*F22,"待報價")</x:f>
        <x:v>待報價</x:v>
      </x:c>
      <x:c r="I22" s="2" t="str">
        <x:f>IF(AND(ISNUMBER(E22),ISNUMBER(F22)),"預算／標價","待報價")</x:f>
        <x:v>待報價</x:v>
      </x:c>
      <x:c r="J22" s="2"/>
      <x:c r="K22" s="2" t="str">
        <x:v>相容PCB電源／電池／線材，由廠商確認輸入及電流，使用現有設備可不重複購買。</x:v>
      </x:c>
      <x:c r="L22" s="2" t="str">
        <x:v>Planning allowance, NOT supplier quote / 預算假設，非報價</x:v>
      </x:c>
      <x:c r="M22" s="2"/>
    </x:row>
    <x:row r="23" ht="50" customHeight="1">
      <x:c r="A23" s="2" t="str">
        <x:v>L01</x:v>
      </x:c>
      <x:c r="B23" s="2" t="str">
        <x:v>SharedLab</x:v>
      </x:c>
      <x:c r="C23" s="8" t="str">
        <x:v>氣流來源與量測限壓設備</x:v>
      </x:c>
      <x:c r="D23" s="2" t="n">
        <x:v>1</x:v>
      </x:c>
      <x:c r="E23" s="10"/>
      <x:c r="F23" s="10"/>
      <x:c r="G23" s="9" t="str">
        <x:f>IF(AND(ISNUMBER(E23),ISNUMBER(F23)),D23*E23,"待報價")</x:f>
        <x:v>待報價</x:v>
      </x:c>
      <x:c r="H23" s="9" t="str">
        <x:f>IF(AND(ISNUMBER(E23),ISNUMBER(F23)),D23*F23,"待報價")</x:f>
        <x:v>待報價</x:v>
      </x:c>
      <x:c r="I23" s="2" t="str">
        <x:f>IF(AND(ISNUMBER(E23),ISNUMBER(F23)),"預算／標價","待報價")</x:f>
        <x:v>待報價</x:v>
      </x:c>
      <x:c r="J23" s="2"/>
      <x:c r="K23" s="2" t="str">
        <x:v>外接流量來源、流量計、壓力計與獨立限壓；屬可共用設備，並非免費。</x:v>
      </x:c>
      <x:c r="L23" s="2" t="str">
        <x:v>Planning allowance, NOT supplier quote / 預算假設，非報價</x:v>
      </x:c>
      <x:c r="M23" s="2"/>
    </x:row>
    <x:row r="24" ht="50" customHeight="1">
      <x:c r="A24" s="2" t="str">
        <x:v>L02</x:v>
      </x:c>
      <x:c r="B24" s="2" t="str">
        <x:v>SharedLab</x:v>
      </x:c>
      <x:c r="C24" s="8" t="str">
        <x:v>列印後處理及組裝工具</x:v>
      </x:c>
      <x:c r="D24" s="2" t="n">
        <x:v>1</x:v>
      </x:c>
      <x:c r="E24" s="10"/>
      <x:c r="F24" s="10"/>
      <x:c r="G24" s="9" t="str">
        <x:f>IF(AND(ISNUMBER(E24),ISNUMBER(F24)),D24*E24,"待報價")</x:f>
        <x:v>待報價</x:v>
      </x:c>
      <x:c r="H24" s="9" t="str">
        <x:f>IF(AND(ISNUMBER(E24),ISNUMBER(F24)),D24*F24,"待報價")</x:f>
        <x:v>待報價</x:v>
      </x:c>
      <x:c r="I24" s="2" t="str">
        <x:f>IF(AND(ISNUMBER(E24),ISNUMBER(F24)),"預算／標價","待報價")</x:f>
        <x:v>待報價</x:v>
      </x:c>
      <x:c r="J24" s="2"/>
      <x:c r="K24" s="2" t="str">
        <x:v>列印、清洗、固化、量具、六角匙、鑷子及樹脂防護用品；使用現有合格設備。</x:v>
      </x:c>
      <x:c r="L24" s="2" t="str">
        <x:v>Planning allowance, NOT supplier quote / 預算假設，非報價</x:v>
      </x:c>
      <x:c r="M24" s="2"/>
    </x:row>
    <x:row r="25" ht="50" customHeight="1">
      <x:c r="A25" s="2" t="str">
        <x:v>L03</x:v>
      </x:c>
      <x:c r="B25" s="2" t="str">
        <x:v>SharedLab</x:v>
      </x:c>
      <x:c r="C25" s="8" t="str">
        <x:v>光學校正及細胞實驗設備</x:v>
      </x:c>
      <x:c r="D25" s="2" t="n">
        <x:v>1</x:v>
      </x:c>
      <x:c r="E25" s="10"/>
      <x:c r="F25" s="10"/>
      <x:c r="G25" s="9" t="str">
        <x:f>IF(AND(ISNUMBER(E25),ISNUMBER(F25)),D25*E25,"待報價")</x:f>
        <x:v>待報價</x:v>
      </x:c>
      <x:c r="H25" s="9" t="str">
        <x:f>IF(AND(ISNUMBER(E25),ISNUMBER(F25)),D25*F25,"待報價")</x:f>
        <x:v>待報價</x:v>
      </x:c>
      <x:c r="I25" s="2" t="str">
        <x:f>IF(AND(ISNUMBER(E25),ISNUMBER(F25)),"預算／標價","待報價")</x:f>
        <x:v>待報價</x:v>
      </x:c>
      <x:c r="J25" s="2"/>
      <x:c r="K25" s="2" t="str">
        <x:v>光譜穿透／背景量測、功率／電流校正及溫濕度／CO2控制、HEK293T實驗設備。</x:v>
      </x:c>
      <x:c r="L25" s="2" t="str">
        <x:v>Planning allowance, NOT supplier quote / 預算假設，非報價</x:v>
      </x:c>
      <x:c r="M25" s="2"/>
    </x:row>
    <x:row r="26" ht="50" customHeight="1">
      <x:c r="A26" s="2" t="str">
        <x:v>P01</x:v>
      </x:c>
      <x:c r="B26" s="2" t="str">
        <x:v>SharedLab</x:v>
      </x:c>
      <x:c r="C26" s="8" t="str">
        <x:v>3.3 V 邏輯 USB-UART 燒錄器</x:v>
      </x:c>
      <x:c r="D26" s="2" t="n">
        <x:v>1</x:v>
      </x:c>
      <x:c r="E26" s="10"/>
      <x:c r="F26" s="10"/>
      <x:c r="G26" s="9" t="str">
        <x:f>IF(AND(ISNUMBER(E26),ISNUMBER(F26)),D26*E26,"待報價")</x:f>
        <x:v>待報價</x:v>
      </x:c>
      <x:c r="H26" s="9" t="str">
        <x:f>IF(AND(ISNUMBER(E26),ISNUMBER(F26)),D26*F26,"待報價")</x:f>
        <x:v>待報價</x:v>
      </x:c>
      <x:c r="I26" s="2" t="str">
        <x:f>IF(AND(ISNUMBER(E26),ISNUMBER(F26)),"預算／標價","待報價")</x:f>
        <x:v>待報價</x:v>
      </x:c>
      <x:c r="J26" s="2"/>
      <x:c r="K26" s="2" t="str">
        <x:v>燒錄J3用3.3V邏輯USB-UART，接腳及RX線路須廠商確認。不可對UART送入5V。</x:v>
      </x:c>
      <x:c r="L26" s="2" t="str">
        <x:v>Required programming tool if not already available; quotation pending.</x:v>
      </x:c>
      <x:c r="M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0" hidden="0" customWidth="1"/>
    <x:col min="4" max="4" width="32" hidden="0" customWidth="1"/>
    <x:col min="5" max="5" width="35" hidden="0" customWidth="1"/>
    <x:col min="6" max="6" width="18" hidden="0" customWidth="1"/>
    <x:col min="7" max="7" width="18" hidden="0" customWidth="1"/>
    <x:col min="8" max="8" width="4" hidden="0" customWidth="1"/>
    <x:col min="9" max="9" width="6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PCB 廠商完整61列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2" customHeight="1">
      <x:c r="A4" s="6" t="str">
        <x:v>原列</x:v>
      </x:c>
      <x:c r="B4" s="6" t="str">
        <x:v>Reference</x:v>
      </x:c>
      <x:c r="C4" s="6" t="str">
        <x:v>數量</x:v>
      </x:c>
      <x:c r="D4" s="6" t="str">
        <x:v>原值／料號</x:v>
      </x:c>
      <x:c r="E4" s="6" t="str">
        <x:v>完整性</x:v>
      </x:c>
      <x:c r="F4" s="6" t="str">
        <x:v>備料單價</x:v>
      </x:c>
      <x:c r="G4" s="6" t="str">
        <x:v>備料小計</x:v>
      </x:c>
      <x:c r="H4" s="2"/>
      <x:c r="I4" s="2"/>
      <x:c r="J4" s="2"/>
      <x:c r="K4" s="2"/>
      <x:c r="L4" s="2"/>
      <x:c r="M4" s="2"/>
    </x:row>
    <x:row r="5" ht="44" customHeight="1">
      <x:c r="A5" s="2" t="n">
        <x:v>1</x:v>
      </x:c>
      <x:c r="B5" s="8" t="str">
        <x:v>C1</x:v>
      </x:c>
      <x:c r="C5" s="8" t="n">
        <x:v>1</x:v>
      </x:c>
      <x:c r="D5" s="8" t="str"/>
      <x:c r="E5" s="8" t="str">
        <x:v>廠商未提供完整值／MPN</x:v>
      </x:c>
      <x:c r="F5" s="7"/>
      <x:c r="G5" s="2" t="str">
        <x:f>IF(ISNUMBER(F5),C5*F5,"待報價")</x:f>
        <x:v>待報價</x:v>
      </x:c>
      <x:c r="H5" s="2"/>
      <x:c r="I5" s="2" t="str">
        <x:v>NTHU_TEST_BOARD_BOM.docx vendor table row 1</x:v>
      </x:c>
      <x:c r="J5" s="2"/>
      <x:c r="K5" s="2"/>
      <x:c r="L5" s="2"/>
      <x:c r="M5" s="2"/>
    </x:row>
    <x:row r="6" ht="44" customHeight="1">
      <x:c r="A6" s="2" t="n">
        <x:v>2</x:v>
      </x:c>
      <x:c r="B6" s="8" t="str">
        <x:v>C2</x:v>
      </x:c>
      <x:c r="C6" s="8" t="n">
        <x:v>1</x:v>
      </x:c>
      <x:c r="D6" s="8" t="str"/>
      <x:c r="E6" s="8" t="str">
        <x:v>廠商未提供完整值／MPN</x:v>
      </x:c>
      <x:c r="F6" s="7"/>
      <x:c r="G6" s="2" t="str">
        <x:f>IF(ISNUMBER(F6),C6*F6,"待報價")</x:f>
        <x:v>待報價</x:v>
      </x:c>
      <x:c r="H6" s="2"/>
      <x:c r="I6" s="2" t="str">
        <x:v>NTHU_TEST_BOARD_BOM.docx vendor table row 2</x:v>
      </x:c>
      <x:c r="J6" s="2"/>
      <x:c r="K6" s="2"/>
      <x:c r="L6" s="2"/>
      <x:c r="M6" s="2"/>
    </x:row>
    <x:row r="7" ht="44" customHeight="1">
      <x:c r="A7" s="2" t="n">
        <x:v>3</x:v>
      </x:c>
      <x:c r="B7" s="8" t="str">
        <x:v>C3</x:v>
      </x:c>
      <x:c r="C7" s="8" t="n">
        <x:v>1</x:v>
      </x:c>
      <x:c r="D7" s="8" t="str"/>
      <x:c r="E7" s="8" t="str">
        <x:v>廠商未提供完整值／MPN</x:v>
      </x:c>
      <x:c r="F7" s="7"/>
      <x:c r="G7" s="2" t="str">
        <x:f>IF(ISNUMBER(F7),C7*F7,"待報價")</x:f>
        <x:v>待報價</x:v>
      </x:c>
      <x:c r="H7" s="2"/>
      <x:c r="I7" s="2" t="str">
        <x:v>NTHU_TEST_BOARD_BOM.docx vendor table row 3</x:v>
      </x:c>
      <x:c r="J7" s="2"/>
      <x:c r="K7" s="2"/>
      <x:c r="L7" s="2"/>
      <x:c r="M7" s="2"/>
    </x:row>
    <x:row r="8" ht="44" customHeight="1">
      <x:c r="A8" s="2" t="n">
        <x:v>4</x:v>
      </x:c>
      <x:c r="B8" s="8" t="str">
        <x:v>C4</x:v>
      </x:c>
      <x:c r="C8" s="8" t="n">
        <x:v>1</x:v>
      </x:c>
      <x:c r="D8" s="8" t="str"/>
      <x:c r="E8" s="8" t="str">
        <x:v>廠商未提供完整值／MPN</x:v>
      </x:c>
      <x:c r="F8" s="7"/>
      <x:c r="G8" s="2" t="str">
        <x:f>IF(ISNUMBER(F8),C8*F8,"待報價")</x:f>
        <x:v>待報價</x:v>
      </x:c>
      <x:c r="H8" s="2"/>
      <x:c r="I8" s="2" t="str">
        <x:v>NTHU_TEST_BOARD_BOM.docx vendor table row 4</x:v>
      </x:c>
      <x:c r="J8" s="2"/>
      <x:c r="K8" s="2"/>
      <x:c r="L8" s="2"/>
      <x:c r="M8" s="2"/>
    </x:row>
    <x:row r="9" ht="44" customHeight="1">
      <x:c r="A9" s="2" t="n">
        <x:v>5</x:v>
      </x:c>
      <x:c r="B9" s="8" t="str">
        <x:v>C5</x:v>
      </x:c>
      <x:c r="C9" s="8" t="n">
        <x:v>1</x:v>
      </x:c>
      <x:c r="D9" s="8" t="str"/>
      <x:c r="E9" s="8" t="str">
        <x:v>廠商未提供完整值／MPN</x:v>
      </x:c>
      <x:c r="F9" s="7"/>
      <x:c r="G9" s="2" t="str">
        <x:f>IF(ISNUMBER(F9),C9*F9,"待報價")</x:f>
        <x:v>待報價</x:v>
      </x:c>
      <x:c r="H9" s="2"/>
      <x:c r="I9" s="2" t="str">
        <x:v>NTHU_TEST_BOARD_BOM.docx vendor table row 5</x:v>
      </x:c>
      <x:c r="J9" s="2"/>
      <x:c r="K9" s="2"/>
      <x:c r="L9" s="2"/>
      <x:c r="M9" s="2"/>
    </x:row>
    <x:row r="10" ht="44" customHeight="1">
      <x:c r="A10" s="2" t="n">
        <x:v>6</x:v>
      </x:c>
      <x:c r="B10" s="8" t="str">
        <x:v>C6</x:v>
      </x:c>
      <x:c r="C10" s="8" t="n">
        <x:v>1</x:v>
      </x:c>
      <x:c r="D10" s="8" t="str"/>
      <x:c r="E10" s="8" t="str">
        <x:v>廠商未提供完整值／MPN</x:v>
      </x:c>
      <x:c r="F10" s="7"/>
      <x:c r="G10" s="2" t="str">
        <x:f>IF(ISNUMBER(F10),C10*F10,"待報價")</x:f>
        <x:v>待報價</x:v>
      </x:c>
      <x:c r="H10" s="2"/>
      <x:c r="I10" s="2" t="str">
        <x:v>NTHU_TEST_BOARD_BOM.docx vendor table row 6</x:v>
      </x:c>
      <x:c r="J10" s="2"/>
      <x:c r="K10" s="2"/>
      <x:c r="L10" s="2"/>
      <x:c r="M10" s="2"/>
    </x:row>
    <x:row r="11" ht="44" customHeight="1">
      <x:c r="A11" s="2" t="n">
        <x:v>7</x:v>
      </x:c>
      <x:c r="B11" s="8" t="str">
        <x:v>C7</x:v>
      </x:c>
      <x:c r="C11" s="8" t="n">
        <x:v>1</x:v>
      </x:c>
      <x:c r="D11" s="8" t="str"/>
      <x:c r="E11" s="8" t="str">
        <x:v>廠商未提供完整值／MPN</x:v>
      </x:c>
      <x:c r="F11" s="7"/>
      <x:c r="G11" s="2" t="str">
        <x:f>IF(ISNUMBER(F11),C11*F11,"待報價")</x:f>
        <x:v>待報價</x:v>
      </x:c>
      <x:c r="H11" s="2"/>
      <x:c r="I11" s="2" t="str">
        <x:v>NTHU_TEST_BOARD_BOM.docx vendor table row 7</x:v>
      </x:c>
      <x:c r="J11" s="2"/>
      <x:c r="K11" s="2"/>
      <x:c r="L11" s="2"/>
      <x:c r="M11" s="2"/>
    </x:row>
    <x:row r="12" ht="44" customHeight="1">
      <x:c r="A12" s="2" t="n">
        <x:v>8</x:v>
      </x:c>
      <x:c r="B12" s="8" t="str">
        <x:v>C8</x:v>
      </x:c>
      <x:c r="C12" s="8" t="n">
        <x:v>1</x:v>
      </x:c>
      <x:c r="D12" s="8" t="str"/>
      <x:c r="E12" s="8" t="str">
        <x:v>廠商未提供完整值／MPN</x:v>
      </x:c>
      <x:c r="F12" s="7"/>
      <x:c r="G12" s="2" t="str">
        <x:f>IF(ISNUMBER(F12),C12*F12,"待報價")</x:f>
        <x:v>待報價</x:v>
      </x:c>
      <x:c r="H12" s="2"/>
      <x:c r="I12" s="2" t="str">
        <x:v>NTHU_TEST_BOARD_BOM.docx vendor table row 8</x:v>
      </x:c>
      <x:c r="J12" s="2"/>
      <x:c r="K12" s="2"/>
      <x:c r="L12" s="2"/>
      <x:c r="M12" s="2"/>
    </x:row>
    <x:row r="13" ht="44" customHeight="1">
      <x:c r="A13" s="2" t="n">
        <x:v>9</x:v>
      </x:c>
      <x:c r="B13" s="8" t="str">
        <x:v>C9</x:v>
      </x:c>
      <x:c r="C13" s="8" t="n">
        <x:v>1</x:v>
      </x:c>
      <x:c r="D13" s="8" t="str"/>
      <x:c r="E13" s="8" t="str">
        <x:v>廠商未提供完整值／MPN</x:v>
      </x:c>
      <x:c r="F13" s="7"/>
      <x:c r="G13" s="2" t="str">
        <x:f>IF(ISNUMBER(F13),C13*F13,"待報價")</x:f>
        <x:v>待報價</x:v>
      </x:c>
      <x:c r="H13" s="2"/>
      <x:c r="I13" s="2" t="str">
        <x:v>NTHU_TEST_BOARD_BOM.docx vendor table row 9</x:v>
      </x:c>
      <x:c r="J13" s="2"/>
      <x:c r="K13" s="2"/>
      <x:c r="L13" s="2"/>
      <x:c r="M13" s="2"/>
    </x:row>
    <x:row r="14" ht="44" customHeight="1">
      <x:c r="A14" s="2" t="n">
        <x:v>10</x:v>
      </x:c>
      <x:c r="B14" s="8" t="str">
        <x:v>C10</x:v>
      </x:c>
      <x:c r="C14" s="8" t="n">
        <x:v>1</x:v>
      </x:c>
      <x:c r="D14" s="8" t="str"/>
      <x:c r="E14" s="8" t="str">
        <x:v>廠商未提供完整值／MPN</x:v>
      </x:c>
      <x:c r="F14" s="7"/>
      <x:c r="G14" s="2" t="str">
        <x:f>IF(ISNUMBER(F14),C14*F14,"待報價")</x:f>
        <x:v>待報價</x:v>
      </x:c>
      <x:c r="H14" s="2"/>
      <x:c r="I14" s="2" t="str">
        <x:v>NTHU_TEST_BOARD_BOM.docx vendor table row 10</x:v>
      </x:c>
      <x:c r="J14" s="2"/>
      <x:c r="K14" s="2"/>
      <x:c r="L14" s="2"/>
      <x:c r="M14" s="2"/>
    </x:row>
    <x:row r="15" ht="44" customHeight="1">
      <x:c r="A15" s="2" t="n">
        <x:v>11</x:v>
      </x:c>
      <x:c r="B15" s="8" t="str">
        <x:v>C11</x:v>
      </x:c>
      <x:c r="C15" s="8" t="n">
        <x:v>1</x:v>
      </x:c>
      <x:c r="D15" s="8" t="str"/>
      <x:c r="E15" s="8" t="str">
        <x:v>廠商未提供完整值／MPN</x:v>
      </x:c>
      <x:c r="F15" s="7"/>
      <x:c r="G15" s="2" t="str">
        <x:f>IF(ISNUMBER(F15),C15*F15,"待報價")</x:f>
        <x:v>待報價</x:v>
      </x:c>
      <x:c r="H15" s="2"/>
      <x:c r="I15" s="2" t="str">
        <x:v>NTHU_TEST_BOARD_BOM.docx vendor table row 11</x:v>
      </x:c>
      <x:c r="J15" s="2"/>
      <x:c r="K15" s="2"/>
      <x:c r="L15" s="2"/>
      <x:c r="M15" s="2"/>
    </x:row>
    <x:row r="16" ht="44" customHeight="1">
      <x:c r="A16" s="2" t="n">
        <x:v>12</x:v>
      </x:c>
      <x:c r="B16" s="8" t="str">
        <x:v>C12</x:v>
      </x:c>
      <x:c r="C16" s="8" t="n">
        <x:v>1</x:v>
      </x:c>
      <x:c r="D16" s="8" t="str">
        <x:v>47uF</x:v>
      </x:c>
      <x:c r="E16" s="8" t="str">
        <x:v>依廠商列示；封裝／高度仍需確認</x:v>
      </x:c>
      <x:c r="F16" s="7"/>
      <x:c r="G16" s="2" t="str">
        <x:f>IF(ISNUMBER(F16),C16*F16,"待報價")</x:f>
        <x:v>待報價</x:v>
      </x:c>
      <x:c r="H16" s="2"/>
      <x:c r="I16" s="2" t="str">
        <x:v>NTHU_TEST_BOARD_BOM.docx vendor table row 12</x:v>
      </x:c>
      <x:c r="J16" s="2"/>
      <x:c r="K16" s="2"/>
      <x:c r="L16" s="2"/>
      <x:c r="M16" s="2"/>
    </x:row>
    <x:row r="17" ht="44" customHeight="1">
      <x:c r="A17" s="2" t="n">
        <x:v>13</x:v>
      </x:c>
      <x:c r="B17" s="8" t="str">
        <x:v>C13,C18</x:v>
      </x:c>
      <x:c r="C17" s="8" t="n">
        <x:v>2</x:v>
      </x:c>
      <x:c r="D17" s="8" t="str">
        <x:v>22uF</x:v>
      </x:c>
      <x:c r="E17" s="8" t="str">
        <x:v>依廠商列示；封裝／高度仍需確認</x:v>
      </x:c>
      <x:c r="F17" s="7"/>
      <x:c r="G17" s="2" t="str">
        <x:f>IF(ISNUMBER(F17),C17*F17,"待報價")</x:f>
        <x:v>待報價</x:v>
      </x:c>
      <x:c r="H17" s="2"/>
      <x:c r="I17" s="2" t="str">
        <x:v>NTHU_TEST_BOARD_BOM.docx vendor table row 13</x:v>
      </x:c>
      <x:c r="J17" s="2"/>
      <x:c r="K17" s="2"/>
      <x:c r="L17" s="2"/>
      <x:c r="M17" s="2"/>
    </x:row>
    <x:row r="18" ht="44" customHeight="1">
      <x:c r="A18" s="2" t="n">
        <x:v>14</x:v>
      </x:c>
      <x:c r="B18" s="8" t="str">
        <x:v>C14,C15,C22,C25</x:v>
      </x:c>
      <x:c r="C18" s="8" t="n">
        <x:v>4</x:v>
      </x:c>
      <x:c r="D18" s="8" t="str">
        <x:v>0.1uF</x:v>
      </x:c>
      <x:c r="E18" s="8" t="str">
        <x:v>依廠商列示；封裝／高度仍需確認</x:v>
      </x:c>
      <x:c r="F18" s="7"/>
      <x:c r="G18" s="2" t="str">
        <x:f>IF(ISNUMBER(F18),C18*F18,"待報價")</x:f>
        <x:v>待報價</x:v>
      </x:c>
      <x:c r="H18" s="2"/>
      <x:c r="I18" s="2" t="str">
        <x:v>NTHU_TEST_BOARD_BOM.docx vendor table row 14</x:v>
      </x:c>
      <x:c r="J18" s="2"/>
      <x:c r="K18" s="2"/>
      <x:c r="L18" s="2"/>
      <x:c r="M18" s="2"/>
    </x:row>
    <x:row r="19" ht="44" customHeight="1">
      <x:c r="A19" s="2" t="n">
        <x:v>15</x:v>
      </x:c>
      <x:c r="B19" s="8" t="str">
        <x:v>C16,C17,C23,C28</x:v>
      </x:c>
      <x:c r="C19" s="8" t="n">
        <x:v>4</x:v>
      </x:c>
      <x:c r="D19" s="8" t="str">
        <x:v>10uF</x:v>
      </x:c>
      <x:c r="E19" s="8" t="str">
        <x:v>依廠商列示；封裝／高度仍需確認</x:v>
      </x:c>
      <x:c r="F19" s="7"/>
      <x:c r="G19" s="2" t="str">
        <x:f>IF(ISNUMBER(F19),C19*F19,"待報價")</x:f>
        <x:v>待報價</x:v>
      </x:c>
      <x:c r="H19" s="2"/>
      <x:c r="I19" s="2" t="str">
        <x:v>NTHU_TEST_BOARD_BOM.docx vendor table row 15</x:v>
      </x:c>
      <x:c r="J19" s="2"/>
      <x:c r="K19" s="2"/>
      <x:c r="L19" s="2"/>
      <x:c r="M19" s="2"/>
    </x:row>
    <x:row r="20" ht="44" customHeight="1">
      <x:c r="A20" s="2" t="n">
        <x:v>16</x:v>
      </x:c>
      <x:c r="B20" s="8" t="str">
        <x:v>C19,C20,C27,C29</x:v>
      </x:c>
      <x:c r="C20" s="8" t="n">
        <x:v>4</x:v>
      </x:c>
      <x:c r="D20" s="8" t="str">
        <x:v>1uF</x:v>
      </x:c>
      <x:c r="E20" s="8" t="str">
        <x:v>依廠商列示；封裝／高度仍需確認</x:v>
      </x:c>
      <x:c r="F20" s="7"/>
      <x:c r="G20" s="2" t="str">
        <x:f>IF(ISNUMBER(F20),C20*F20,"待報價")</x:f>
        <x:v>待報價</x:v>
      </x:c>
      <x:c r="H20" s="2"/>
      <x:c r="I20" s="2" t="str">
        <x:v>NTHU_TEST_BOARD_BOM.docx vendor table row 16</x:v>
      </x:c>
      <x:c r="J20" s="2"/>
      <x:c r="K20" s="2"/>
      <x:c r="L20" s="2"/>
      <x:c r="M20" s="2"/>
    </x:row>
    <x:row r="21" ht="44" customHeight="1">
      <x:c r="A21" s="2" t="n">
        <x:v>17</x:v>
      </x:c>
      <x:c r="B21" s="8" t="str">
        <x:v>C21</x:v>
      </x:c>
      <x:c r="C21" s="8" t="n">
        <x:v>1</x:v>
      </x:c>
      <x:c r="D21" s="8" t="str">
        <x:v>2.2pF</x:v>
      </x:c>
      <x:c r="E21" s="8" t="str">
        <x:v>依廠商列示；封裝／高度仍需確認</x:v>
      </x:c>
      <x:c r="F21" s="7"/>
      <x:c r="G21" s="2" t="str">
        <x:f>IF(ISNUMBER(F21),C21*F21,"待報價")</x:f>
        <x:v>待報價</x:v>
      </x:c>
      <x:c r="H21" s="2"/>
      <x:c r="I21" s="2" t="str">
        <x:v>NTHU_TEST_BOARD_BOM.docx vendor table row 17</x:v>
      </x:c>
      <x:c r="J21" s="2"/>
      <x:c r="K21" s="2"/>
      <x:c r="L21" s="2"/>
      <x:c r="M21" s="2"/>
    </x:row>
    <x:row r="22" ht="44" customHeight="1">
      <x:c r="A22" s="2" t="n">
        <x:v>18</x:v>
      </x:c>
      <x:c r="B22" s="8" t="str">
        <x:v>C24</x:v>
      </x:c>
      <x:c r="C22" s="8" t="n">
        <x:v>1</x:v>
      </x:c>
      <x:c r="D22" s="8" t="str">
        <x:v>1000pF</x:v>
      </x:c>
      <x:c r="E22" s="8" t="str">
        <x:v>依廠商列示；封裝／高度仍需確認</x:v>
      </x:c>
      <x:c r="F22" s="7"/>
      <x:c r="G22" s="2" t="str">
        <x:f>IF(ISNUMBER(F22),C22*F22,"待報價")</x:f>
        <x:v>待報價</x:v>
      </x:c>
      <x:c r="H22" s="2"/>
      <x:c r="I22" s="2" t="str">
        <x:v>NTHU_TEST_BOARD_BOM.docx vendor table row 18</x:v>
      </x:c>
      <x:c r="J22" s="2"/>
      <x:c r="K22" s="2"/>
      <x:c r="L22" s="2"/>
      <x:c r="M22" s="2"/>
    </x:row>
    <x:row r="23" ht="44" customHeight="1">
      <x:c r="A23" s="2" t="n">
        <x:v>19</x:v>
      </x:c>
      <x:c r="B23" s="8" t="str">
        <x:v>C26</x:v>
      </x:c>
      <x:c r="C23" s="8" t="n">
        <x:v>1</x:v>
      </x:c>
      <x:c r="D23" s="8" t="str">
        <x:v>100uF</x:v>
      </x:c>
      <x:c r="E23" s="8" t="str">
        <x:v>依廠商列示；封裝／高度仍需確認</x:v>
      </x:c>
      <x:c r="F23" s="7"/>
      <x:c r="G23" s="2" t="str">
        <x:f>IF(ISNUMBER(F23),C23*F23,"待報價")</x:f>
        <x:v>待報價</x:v>
      </x:c>
      <x:c r="H23" s="2"/>
      <x:c r="I23" s="2" t="str">
        <x:v>NTHU_TEST_BOARD_BOM.docx vendor table row 19</x:v>
      </x:c>
      <x:c r="J23" s="2"/>
      <x:c r="K23" s="2"/>
      <x:c r="L23" s="2"/>
      <x:c r="M23" s="2"/>
    </x:row>
    <x:row r="24" ht="44" customHeight="1">
      <x:c r="A24" s="2" t="n">
        <x:v>20</x:v>
      </x:c>
      <x:c r="B24" s="8" t="str">
        <x:v>DPS1,DPS2</x:v>
      </x:c>
      <x:c r="C24" s="8" t="n">
        <x:v>2</x:v>
      </x:c>
      <x:c r="D24" s="8" t="str">
        <x:v>LED</x:v>
      </x:c>
      <x:c r="E24" s="8" t="str">
        <x:v>依廠商列示；封裝／高度仍需確認</x:v>
      </x:c>
      <x:c r="F24" s="7"/>
      <x:c r="G24" s="2" t="str">
        <x:f>IF(ISNUMBER(F24),C24*F24,"待報價")</x:f>
        <x:v>待報價</x:v>
      </x:c>
      <x:c r="H24" s="2"/>
      <x:c r="I24" s="2" t="str">
        <x:v>NTHU_TEST_BOARD_BOM.docx vendor table row 20</x:v>
      </x:c>
      <x:c r="J24" s="2"/>
      <x:c r="K24" s="2"/>
      <x:c r="L24" s="2"/>
      <x:c r="M24" s="2"/>
    </x:row>
    <x:row r="25" ht="44" customHeight="1">
      <x:c r="A25" s="2" t="n">
        <x:v>21</x:v>
      </x:c>
      <x:c r="B25" s="8" t="str">
        <x:v>D1,D2,D3,D4</x:v>
      </x:c>
      <x:c r="C25" s="8" t="n">
        <x:v>4</x:v>
      </x:c>
      <x:c r="D25" s="8" t="str">
        <x:v>155124BS73200</x:v>
      </x:c>
      <x:c r="E25" s="8" t="str">
        <x:v>依廠商列示；封裝／高度仍需確認</x:v>
      </x:c>
      <x:c r="F25" s="7"/>
      <x:c r="G25" s="2" t="str">
        <x:f>IF(ISNUMBER(F25),C25*F25,"待報價")</x:f>
        <x:v>待報價</x:v>
      </x:c>
      <x:c r="H25" s="2"/>
      <x:c r="I25" s="2" t="str">
        <x:v>NTHU_TEST_BOARD_BOM.docx vendor table row 21</x:v>
      </x:c>
      <x:c r="J25" s="2"/>
      <x:c r="K25" s="2"/>
      <x:c r="L25" s="2"/>
      <x:c r="M25" s="2"/>
    </x:row>
    <x:row r="26" ht="44" customHeight="1">
      <x:c r="A26" s="2" t="n">
        <x:v>22</x:v>
      </x:c>
      <x:c r="B26" s="8" t="str">
        <x:v>D5</x:v>
      </x:c>
      <x:c r="C26" s="8" t="n">
        <x:v>1</x:v>
      </x:c>
      <x:c r="D26" s="8" t="str">
        <x:v>VEMD5060X01</x:v>
      </x:c>
      <x:c r="E26" s="8" t="str">
        <x:v>依廠商列示；封裝／高度仍需確認</x:v>
      </x:c>
      <x:c r="F26" s="7"/>
      <x:c r="G26" s="2" t="str">
        <x:f>IF(ISNUMBER(F26),C26*F26,"待報價")</x:f>
        <x:v>待報價</x:v>
      </x:c>
      <x:c r="H26" s="2"/>
      <x:c r="I26" s="2" t="str">
        <x:v>NTHU_TEST_BOARD_BOM.docx vendor table row 22</x:v>
      </x:c>
      <x:c r="J26" s="2"/>
      <x:c r="K26" s="2"/>
      <x:c r="L26" s="2"/>
      <x:c r="M26" s="2"/>
    </x:row>
    <x:row r="27" ht="44" customHeight="1">
      <x:c r="A27" s="2" t="n">
        <x:v>23</x:v>
      </x:c>
      <x:c r="B27" s="8" t="str">
        <x:v>FD1,FD2,FD3,FD4,FD5,FD6,FD7,FD8</x:v>
      </x:c>
      <x:c r="C27" s="8" t="n">
        <x:v>8</x:v>
      </x:c>
      <x:c r="D27" s="8" t="str">
        <x:v>FD_040(SMT用光學點)</x:v>
      </x:c>
      <x:c r="E27" s="8" t="str">
        <x:v>依廠商列示；封裝／高度仍需確認</x:v>
      </x:c>
      <x:c r="F27" s="7"/>
      <x:c r="G27" s="2" t="str">
        <x:f>IF(ISNUMBER(F27),C27*F27,"待報價")</x:f>
        <x:v>待報價</x:v>
      </x:c>
      <x:c r="H27" s="2"/>
      <x:c r="I27" s="2" t="str">
        <x:v>NTHU_TEST_BOARD_BOM.docx vendor table row 23</x:v>
      </x:c>
      <x:c r="J27" s="2"/>
      <x:c r="K27" s="2"/>
      <x:c r="L27" s="2"/>
      <x:c r="M27" s="2"/>
    </x:row>
    <x:row r="28" ht="44" customHeight="1">
      <x:c r="A28" s="2" t="n">
        <x:v>24</x:v>
      </x:c>
      <x:c r="B28" s="8" t="str">
        <x:v>H1,H2,H3,H4</x:v>
      </x:c>
      <x:c r="C28" s="8" t="n">
        <x:v>4</x:v>
      </x:c>
      <x:c r="D28" s="8" t="str">
        <x:v>CON(銅柱孔)</x:v>
      </x:c>
      <x:c r="E28" s="8" t="str">
        <x:v>依廠商列示；封裝／高度仍需確認</x:v>
      </x:c>
      <x:c r="F28" s="7"/>
      <x:c r="G28" s="2" t="str">
        <x:f>IF(ISNUMBER(F28),C28*F28,"待報價")</x:f>
        <x:v>待報價</x:v>
      </x:c>
      <x:c r="H28" s="2"/>
      <x:c r="I28" s="2" t="str">
        <x:v>NTHU_TEST_BOARD_BOM.docx vendor table row 24</x:v>
      </x:c>
      <x:c r="J28" s="2"/>
      <x:c r="K28" s="2"/>
      <x:c r="L28" s="2"/>
      <x:c r="M28" s="2"/>
    </x:row>
    <x:row r="29" ht="44" customHeight="1">
      <x:c r="A29" s="2" t="n">
        <x:v>25</x:v>
      </x:c>
      <x:c r="B29" s="8" t="str">
        <x:v>J1</x:v>
      </x:c>
      <x:c r="C29" s="8" t="n">
        <x:v>1</x:v>
      </x:c>
      <x:c r="D29" s="8" t="str">
        <x:v>Battery_Case</x:v>
      </x:c>
      <x:c r="E29" s="8" t="str">
        <x:v>依廠商列示；封裝／高度仍需確認</x:v>
      </x:c>
      <x:c r="F29" s="7"/>
      <x:c r="G29" s="2" t="str">
        <x:f>IF(ISNUMBER(F29),C29*F29,"待報價")</x:f>
        <x:v>待報價</x:v>
      </x:c>
      <x:c r="H29" s="2"/>
      <x:c r="I29" s="2" t="str">
        <x:v>NTHU_TEST_BOARD_BOM.docx vendor table row 25</x:v>
      </x:c>
      <x:c r="J29" s="2"/>
      <x:c r="K29" s="2"/>
      <x:c r="L29" s="2"/>
      <x:c r="M29" s="2"/>
    </x:row>
    <x:row r="30" ht="44" customHeight="1">
      <x:c r="A30" s="2" t="n">
        <x:v>26</x:v>
      </x:c>
      <x:c r="B30" s="8" t="str">
        <x:v>J2</x:v>
      </x:c>
      <x:c r="C30" s="8" t="n">
        <x:v>1</x:v>
      </x:c>
      <x:c r="D30" s="8" t="str">
        <x:v>USB TYPE C FEMALE</x:v>
      </x:c>
      <x:c r="E30" s="8" t="str">
        <x:v>依廠商列示；封裝／高度仍需確認</x:v>
      </x:c>
      <x:c r="F30" s="7"/>
      <x:c r="G30" s="2" t="str">
        <x:f>IF(ISNUMBER(F30),C30*F30,"待報價")</x:f>
        <x:v>待報價</x:v>
      </x:c>
      <x:c r="H30" s="2"/>
      <x:c r="I30" s="2" t="str">
        <x:v>NTHU_TEST_BOARD_BOM.docx vendor table row 26</x:v>
      </x:c>
      <x:c r="J30" s="2"/>
      <x:c r="K30" s="2"/>
      <x:c r="L30" s="2"/>
      <x:c r="M30" s="2"/>
    </x:row>
    <x:row r="31" ht="44" customHeight="1">
      <x:c r="A31" s="2" t="n">
        <x:v>27</x:v>
      </x:c>
      <x:c r="B31" s="8" t="str">
        <x:v>J3</x:v>
      </x:c>
      <x:c r="C31" s="8" t="n">
        <x:v>1</x:v>
      </x:c>
      <x:c r="D31" s="8" t="str">
        <x:v>CON4(4pin排針)</x:v>
      </x:c>
      <x:c r="E31" s="8" t="str">
        <x:v>依廠商列示；封裝／高度仍需確認</x:v>
      </x:c>
      <x:c r="F31" s="7"/>
      <x:c r="G31" s="2" t="str">
        <x:f>IF(ISNUMBER(F31),C31*F31,"待報價")</x:f>
        <x:v>待報價</x:v>
      </x:c>
      <x:c r="H31" s="2"/>
      <x:c r="I31" s="2" t="str">
        <x:v>NTHU_TEST_BOARD_BOM.docx vendor table row 27</x:v>
      </x:c>
      <x:c r="J31" s="2"/>
      <x:c r="K31" s="2"/>
      <x:c r="L31" s="2"/>
      <x:c r="M31" s="2"/>
    </x:row>
    <x:row r="32" ht="44" customHeight="1">
      <x:c r="A32" s="2" t="n">
        <x:v>28</x:v>
      </x:c>
      <x:c r="B32" s="8" t="str">
        <x:v>L1</x:v>
      </x:c>
      <x:c r="C32" s="8" t="n">
        <x:v>1</x:v>
      </x:c>
      <x:c r="D32" s="8" t="str"/>
      <x:c r="E32" s="8" t="str">
        <x:v>廠商未提供完整值／MPN</x:v>
      </x:c>
      <x:c r="F32" s="7"/>
      <x:c r="G32" s="2" t="str">
        <x:f>IF(ISNUMBER(F32),C32*F32,"待報價")</x:f>
        <x:v>待報價</x:v>
      </x:c>
      <x:c r="H32" s="2"/>
      <x:c r="I32" s="2" t="str">
        <x:v>NTHU_TEST_BOARD_BOM.docx vendor table row 28</x:v>
      </x:c>
      <x:c r="J32" s="2"/>
      <x:c r="K32" s="2"/>
      <x:c r="L32" s="2"/>
      <x:c r="M32" s="2"/>
    </x:row>
    <x:row r="33" ht="44" customHeight="1">
      <x:c r="A33" s="2" t="n">
        <x:v>29</x:v>
      </x:c>
      <x:c r="B33" s="8" t="str">
        <x:v>Q1,Q2,Q3,Q4</x:v>
      </x:c>
      <x:c r="C33" s="8" t="n">
        <x:v>4</x:v>
      </x:c>
      <x:c r="D33" s="8" t="str">
        <x:v>AO3400A</x:v>
      </x:c>
      <x:c r="E33" s="8" t="str">
        <x:v>依廠商列示；封裝／高度仍需確認</x:v>
      </x:c>
      <x:c r="F33" s="7"/>
      <x:c r="G33" s="2" t="str">
        <x:f>IF(ISNUMBER(F33),C33*F33,"待報價")</x:f>
        <x:v>待報價</x:v>
      </x:c>
      <x:c r="H33" s="2"/>
      <x:c r="I33" s="2" t="str">
        <x:v>NTHU_TEST_BOARD_BOM.docx vendor table row 29</x:v>
      </x:c>
      <x:c r="J33" s="2"/>
      <x:c r="K33" s="2"/>
      <x:c r="L33" s="2"/>
      <x:c r="M33" s="2"/>
    </x:row>
    <x:row r="34" ht="44" customHeight="1">
      <x:c r="A34" s="2" t="n">
        <x:v>30</x:v>
      </x:c>
      <x:c r="B34" s="8" t="str">
        <x:v>R1</x:v>
      </x:c>
      <x:c r="C34" s="8" t="n">
        <x:v>1</x:v>
      </x:c>
      <x:c r="D34" s="8" t="str"/>
      <x:c r="E34" s="8" t="str">
        <x:v>廠商未提供完整值／MPN</x:v>
      </x:c>
      <x:c r="F34" s="7"/>
      <x:c r="G34" s="2" t="str">
        <x:f>IF(ISNUMBER(F34),C34*F34,"待報價")</x:f>
        <x:v>待報價</x:v>
      </x:c>
      <x:c r="H34" s="2"/>
      <x:c r="I34" s="2" t="str">
        <x:v>NTHU_TEST_BOARD_BOM.docx vendor table row 30</x:v>
      </x:c>
      <x:c r="J34" s="2"/>
      <x:c r="K34" s="2"/>
      <x:c r="L34" s="2"/>
      <x:c r="M34" s="2"/>
    </x:row>
    <x:row r="35" ht="44" customHeight="1">
      <x:c r="A35" s="2" t="n">
        <x:v>31</x:v>
      </x:c>
      <x:c r="B35" s="8" t="str">
        <x:v>R2</x:v>
      </x:c>
      <x:c r="C35" s="8" t="n">
        <x:v>1</x:v>
      </x:c>
      <x:c r="D35" s="8" t="str"/>
      <x:c r="E35" s="8" t="str">
        <x:v>廠商未提供完整值／MPN</x:v>
      </x:c>
      <x:c r="F35" s="7"/>
      <x:c r="G35" s="2" t="str">
        <x:f>IF(ISNUMBER(F35),C35*F35,"待報價")</x:f>
        <x:v>待報價</x:v>
      </x:c>
      <x:c r="H35" s="2"/>
      <x:c r="I35" s="2" t="str">
        <x:v>NTHU_TEST_BOARD_BOM.docx vendor table row 31</x:v>
      </x:c>
      <x:c r="J35" s="2"/>
      <x:c r="K35" s="2"/>
      <x:c r="L35" s="2"/>
      <x:c r="M35" s="2"/>
    </x:row>
    <x:row r="36" ht="44" customHeight="1">
      <x:c r="A36" s="2" t="n">
        <x:v>32</x:v>
      </x:c>
      <x:c r="B36" s="8" t="str">
        <x:v>R3</x:v>
      </x:c>
      <x:c r="C36" s="8" t="n">
        <x:v>1</x:v>
      </x:c>
      <x:c r="D36" s="8" t="str"/>
      <x:c r="E36" s="8" t="str">
        <x:v>廠商未提供完整值／MPN</x:v>
      </x:c>
      <x:c r="F36" s="7"/>
      <x:c r="G36" s="2" t="str">
        <x:f>IF(ISNUMBER(F36),C36*F36,"待報價")</x:f>
        <x:v>待報價</x:v>
      </x:c>
      <x:c r="H36" s="2"/>
      <x:c r="I36" s="2" t="str">
        <x:v>NTHU_TEST_BOARD_BOM.docx vendor table row 32</x:v>
      </x:c>
      <x:c r="J36" s="2"/>
      <x:c r="K36" s="2"/>
      <x:c r="L36" s="2"/>
      <x:c r="M36" s="2"/>
    </x:row>
    <x:row r="37" ht="44" customHeight="1">
      <x:c r="A37" s="2" t="n">
        <x:v>33</x:v>
      </x:c>
      <x:c r="B37" s="8" t="str">
        <x:v>R4</x:v>
      </x:c>
      <x:c r="C37" s="8" t="n">
        <x:v>1</x:v>
      </x:c>
      <x:c r="D37" s="8" t="str"/>
      <x:c r="E37" s="8" t="str">
        <x:v>廠商未提供完整值／MPN</x:v>
      </x:c>
      <x:c r="F37" s="7"/>
      <x:c r="G37" s="2" t="str">
        <x:f>IF(ISNUMBER(F37),C37*F37,"待報價")</x:f>
        <x:v>待報價</x:v>
      </x:c>
      <x:c r="H37" s="2"/>
      <x:c r="I37" s="2" t="str">
        <x:v>NTHU_TEST_BOARD_BOM.docx vendor table row 33</x:v>
      </x:c>
      <x:c r="J37" s="2"/>
      <x:c r="K37" s="2"/>
      <x:c r="L37" s="2"/>
      <x:c r="M37" s="2"/>
    </x:row>
    <x:row r="38" ht="44" customHeight="1">
      <x:c r="A38" s="2" t="n">
        <x:v>34</x:v>
      </x:c>
      <x:c r="B38" s="8" t="str">
        <x:v>R5</x:v>
      </x:c>
      <x:c r="C38" s="8" t="n">
        <x:v>1</x:v>
      </x:c>
      <x:c r="D38" s="8" t="str"/>
      <x:c r="E38" s="8" t="str">
        <x:v>廠商未提供完整值／MPN</x:v>
      </x:c>
      <x:c r="F38" s="7"/>
      <x:c r="G38" s="2" t="str">
        <x:f>IF(ISNUMBER(F38),C38*F38,"待報價")</x:f>
        <x:v>待報價</x:v>
      </x:c>
      <x:c r="H38" s="2"/>
      <x:c r="I38" s="2" t="str">
        <x:v>NTHU_TEST_BOARD_BOM.docx vendor table row 34</x:v>
      </x:c>
      <x:c r="J38" s="2"/>
      <x:c r="K38" s="2"/>
      <x:c r="L38" s="2"/>
      <x:c r="M38" s="2"/>
    </x:row>
    <x:row r="39" ht="44" customHeight="1">
      <x:c r="A39" s="2" t="n">
        <x:v>35</x:v>
      </x:c>
      <x:c r="B39" s="8" t="str">
        <x:v>R6</x:v>
      </x:c>
      <x:c r="C39" s="8" t="n">
        <x:v>1</x:v>
      </x:c>
      <x:c r="D39" s="8" t="str"/>
      <x:c r="E39" s="8" t="str">
        <x:v>廠商未提供完整值／MPN</x:v>
      </x:c>
      <x:c r="F39" s="7"/>
      <x:c r="G39" s="2" t="str">
        <x:f>IF(ISNUMBER(F39),C39*F39,"待報價")</x:f>
        <x:v>待報價</x:v>
      </x:c>
      <x:c r="H39" s="2"/>
      <x:c r="I39" s="2" t="str">
        <x:v>NTHU_TEST_BOARD_BOM.docx vendor table row 35</x:v>
      </x:c>
      <x:c r="J39" s="2"/>
      <x:c r="K39" s="2"/>
      <x:c r="L39" s="2"/>
      <x:c r="M39" s="2"/>
    </x:row>
    <x:row r="40" ht="44" customHeight="1">
      <x:c r="A40" s="2" t="n">
        <x:v>36</x:v>
      </x:c>
      <x:c r="B40" s="8" t="str">
        <x:v>R7</x:v>
      </x:c>
      <x:c r="C40" s="8" t="n">
        <x:v>1</x:v>
      </x:c>
      <x:c r="D40" s="8" t="str"/>
      <x:c r="E40" s="8" t="str">
        <x:v>廠商未提供完整值／MPN</x:v>
      </x:c>
      <x:c r="F40" s="7"/>
      <x:c r="G40" s="2" t="str">
        <x:f>IF(ISNUMBER(F40),C40*F40,"待報價")</x:f>
        <x:v>待報價</x:v>
      </x:c>
      <x:c r="H40" s="2"/>
      <x:c r="I40" s="2" t="str">
        <x:v>NTHU_TEST_BOARD_BOM.docx vendor table row 36</x:v>
      </x:c>
      <x:c r="J40" s="2"/>
      <x:c r="K40" s="2"/>
      <x:c r="L40" s="2"/>
      <x:c r="M40" s="2"/>
    </x:row>
    <x:row r="41" ht="44" customHeight="1">
      <x:c r="A41" s="2" t="n">
        <x:v>37</x:v>
      </x:c>
      <x:c r="B41" s="8" t="str">
        <x:v>R8</x:v>
      </x:c>
      <x:c r="C41" s="8" t="n">
        <x:v>1</x:v>
      </x:c>
      <x:c r="D41" s="8" t="str"/>
      <x:c r="E41" s="8" t="str">
        <x:v>廠商未提供完整值／MPN</x:v>
      </x:c>
      <x:c r="F41" s="7"/>
      <x:c r="G41" s="2" t="str">
        <x:f>IF(ISNUMBER(F41),C41*F41,"待報價")</x:f>
        <x:v>待報價</x:v>
      </x:c>
      <x:c r="H41" s="2"/>
      <x:c r="I41" s="2" t="str">
        <x:v>NTHU_TEST_BOARD_BOM.docx vendor table row 37</x:v>
      </x:c>
      <x:c r="J41" s="2"/>
      <x:c r="K41" s="2"/>
      <x:c r="L41" s="2"/>
      <x:c r="M41" s="2"/>
    </x:row>
    <x:row r="42" ht="44" customHeight="1">
      <x:c r="A42" s="2" t="n">
        <x:v>38</x:v>
      </x:c>
      <x:c r="B42" s="8" t="str">
        <x:v>R9</x:v>
      </x:c>
      <x:c r="C42" s="8" t="n">
        <x:v>1</x:v>
      </x:c>
      <x:c r="D42" s="8" t="str"/>
      <x:c r="E42" s="8" t="str">
        <x:v>廠商未提供完整值／MPN</x:v>
      </x:c>
      <x:c r="F42" s="7"/>
      <x:c r="G42" s="2" t="str">
        <x:f>IF(ISNUMBER(F42),C42*F42,"待報價")</x:f>
        <x:v>待報價</x:v>
      </x:c>
      <x:c r="H42" s="2"/>
      <x:c r="I42" s="2" t="str">
        <x:v>NTHU_TEST_BOARD_BOM.docx vendor table row 38</x:v>
      </x:c>
      <x:c r="J42" s="2"/>
      <x:c r="K42" s="2"/>
      <x:c r="L42" s="2"/>
      <x:c r="M42" s="2"/>
    </x:row>
    <x:row r="43" ht="44" customHeight="1">
      <x:c r="A43" s="2" t="n">
        <x:v>39</x:v>
      </x:c>
      <x:c r="B43" s="8" t="str">
        <x:v>R10</x:v>
      </x:c>
      <x:c r="C43" s="8" t="n">
        <x:v>1</x:v>
      </x:c>
      <x:c r="D43" s="8" t="str"/>
      <x:c r="E43" s="8" t="str">
        <x:v>廠商未提供完整值／MPN</x:v>
      </x:c>
      <x:c r="F43" s="7"/>
      <x:c r="G43" s="2" t="str">
        <x:f>IF(ISNUMBER(F43),C43*F43,"待報價")</x:f>
        <x:v>待報價</x:v>
      </x:c>
      <x:c r="H43" s="2"/>
      <x:c r="I43" s="2" t="str">
        <x:v>NTHU_TEST_BOARD_BOM.docx vendor table row 39</x:v>
      </x:c>
      <x:c r="J43" s="2"/>
      <x:c r="K43" s="2"/>
      <x:c r="L43" s="2"/>
      <x:c r="M43" s="2"/>
    </x:row>
    <x:row r="44" ht="44" customHeight="1">
      <x:c r="A44" s="2" t="n">
        <x:v>40</x:v>
      </x:c>
      <x:c r="B44" s="8" t="str">
        <x:v>R11</x:v>
      </x:c>
      <x:c r="C44" s="8" t="n">
        <x:v>1</x:v>
      </x:c>
      <x:c r="D44" s="8" t="str"/>
      <x:c r="E44" s="8" t="str">
        <x:v>廠商未提供完整值／MPN</x:v>
      </x:c>
      <x:c r="F44" s="7"/>
      <x:c r="G44" s="2" t="str">
        <x:f>IF(ISNUMBER(F44),C44*F44,"待報價")</x:f>
        <x:v>待報價</x:v>
      </x:c>
      <x:c r="H44" s="2"/>
      <x:c r="I44" s="2" t="str">
        <x:v>NTHU_TEST_BOARD_BOM.docx vendor table row 40</x:v>
      </x:c>
      <x:c r="J44" s="2"/>
      <x:c r="K44" s="2"/>
      <x:c r="L44" s="2"/>
      <x:c r="M44" s="2"/>
    </x:row>
    <x:row r="45" ht="44" customHeight="1">
      <x:c r="A45" s="2" t="n">
        <x:v>41</x:v>
      </x:c>
      <x:c r="B45" s="8" t="str">
        <x:v>R12</x:v>
      </x:c>
      <x:c r="C45" s="8" t="n">
        <x:v>1</x:v>
      </x:c>
      <x:c r="D45" s="8" t="str"/>
      <x:c r="E45" s="8" t="str">
        <x:v>廠商未提供完整值／MPN</x:v>
      </x:c>
      <x:c r="F45" s="7"/>
      <x:c r="G45" s="2" t="str">
        <x:f>IF(ISNUMBER(F45),C45*F45,"待報價")</x:f>
        <x:v>待報價</x:v>
      </x:c>
      <x:c r="H45" s="2"/>
      <x:c r="I45" s="2" t="str">
        <x:v>NTHU_TEST_BOARD_BOM.docx vendor table row 41</x:v>
      </x:c>
      <x:c r="J45" s="2"/>
      <x:c r="K45" s="2"/>
      <x:c r="L45" s="2"/>
      <x:c r="M45" s="2"/>
    </x:row>
    <x:row r="46" ht="44" customHeight="1">
      <x:c r="A46" s="2" t="n">
        <x:v>42</x:v>
      </x:c>
      <x:c r="B46" s="8" t="str">
        <x:v>R13</x:v>
      </x:c>
      <x:c r="C46" s="8" t="n">
        <x:v>1</x:v>
      </x:c>
      <x:c r="D46" s="8" t="str"/>
      <x:c r="E46" s="8" t="str">
        <x:v>廠商未提供完整值／MPN</x:v>
      </x:c>
      <x:c r="F46" s="7"/>
      <x:c r="G46" s="2" t="str">
        <x:f>IF(ISNUMBER(F46),C46*F46,"待報價")</x:f>
        <x:v>待報價</x:v>
      </x:c>
      <x:c r="H46" s="2"/>
      <x:c r="I46" s="2" t="str">
        <x:v>NTHU_TEST_BOARD_BOM.docx vendor table row 42</x:v>
      </x:c>
      <x:c r="J46" s="2"/>
      <x:c r="K46" s="2"/>
      <x:c r="L46" s="2"/>
      <x:c r="M46" s="2"/>
    </x:row>
    <x:row r="47" ht="44" customHeight="1">
      <x:c r="A47" s="2" t="n">
        <x:v>43</x:v>
      </x:c>
      <x:c r="B47" s="8" t="str">
        <x:v>R14</x:v>
      </x:c>
      <x:c r="C47" s="8" t="n">
        <x:v>1</x:v>
      </x:c>
      <x:c r="D47" s="8" t="str"/>
      <x:c r="E47" s="8" t="str">
        <x:v>廠商未提供完整值／MPN</x:v>
      </x:c>
      <x:c r="F47" s="7"/>
      <x:c r="G47" s="2" t="str">
        <x:f>IF(ISNUMBER(F47),C47*F47,"待報價")</x:f>
        <x:v>待報價</x:v>
      </x:c>
      <x:c r="H47" s="2"/>
      <x:c r="I47" s="2" t="str">
        <x:v>NTHU_TEST_BOARD_BOM.docx vendor table row 43</x:v>
      </x:c>
      <x:c r="J47" s="2"/>
      <x:c r="K47" s="2"/>
      <x:c r="L47" s="2"/>
      <x:c r="M47" s="2"/>
    </x:row>
    <x:row r="48" ht="44" customHeight="1">
      <x:c r="A48" s="2" t="n">
        <x:v>44</x:v>
      </x:c>
      <x:c r="B48" s="8" t="str">
        <x:v>R15,R28,R35</x:v>
      </x:c>
      <x:c r="C48" s="8" t="n">
        <x:v>3</x:v>
      </x:c>
      <x:c r="D48" s="8" t="str">
        <x:v>10k</x:v>
      </x:c>
      <x:c r="E48" s="8" t="str">
        <x:v>依廠商列示；封裝／高度仍需確認</x:v>
      </x:c>
      <x:c r="F48" s="7"/>
      <x:c r="G48" s="2" t="str">
        <x:f>IF(ISNUMBER(F48),C48*F48,"待報價")</x:f>
        <x:v>待報價</x:v>
      </x:c>
      <x:c r="H48" s="2"/>
      <x:c r="I48" s="2" t="str">
        <x:v>NTHU_TEST_BOARD_BOM.docx vendor table row 44</x:v>
      </x:c>
      <x:c r="J48" s="2"/>
      <x:c r="K48" s="2"/>
      <x:c r="L48" s="2"/>
      <x:c r="M48" s="2"/>
    </x:row>
    <x:row r="49" ht="44" customHeight="1">
      <x:c r="A49" s="2" t="n">
        <x:v>45</x:v>
      </x:c>
      <x:c r="B49" s="8" t="str">
        <x:v>R16,R21,R24,R29,R30,R31,R36</x:v>
      </x:c>
      <x:c r="C49" s="8" t="n">
        <x:v>7</x:v>
      </x:c>
      <x:c r="D49" s="8" t="str">
        <x:v>100R</x:v>
      </x:c>
      <x:c r="E49" s="8" t="str">
        <x:v>依廠商列示；封裝／高度仍需確認</x:v>
      </x:c>
      <x:c r="F49" s="7"/>
      <x:c r="G49" s="2" t="str">
        <x:f>IF(ISNUMBER(F49),C49*F49,"待報價")</x:f>
        <x:v>待報價</x:v>
      </x:c>
      <x:c r="H49" s="2"/>
      <x:c r="I49" s="2" t="str">
        <x:v>NTHU_TEST_BOARD_BOM.docx vendor table row 45</x:v>
      </x:c>
      <x:c r="J49" s="2"/>
      <x:c r="K49" s="2"/>
      <x:c r="L49" s="2"/>
      <x:c r="M49" s="2"/>
    </x:row>
    <x:row r="50" ht="44" customHeight="1">
      <x:c r="A50" s="2" t="n">
        <x:v>46</x:v>
      </x:c>
      <x:c r="B50" s="8" t="str">
        <x:v>R17,R22,R25,R32</x:v>
      </x:c>
      <x:c r="C50" s="8" t="n">
        <x:v>4</x:v>
      </x:c>
      <x:c r="D50" s="8" t="str">
        <x:v>220R</x:v>
      </x:c>
      <x:c r="E50" s="8" t="str">
        <x:v>依廠商列示；封裝／高度仍需確認</x:v>
      </x:c>
      <x:c r="F50" s="7"/>
      <x:c r="G50" s="2" t="str">
        <x:f>IF(ISNUMBER(F50),C50*F50,"待報價")</x:f>
        <x:v>待報價</x:v>
      </x:c>
      <x:c r="H50" s="2"/>
      <x:c r="I50" s="2" t="str">
        <x:v>NTHU_TEST_BOARD_BOM.docx vendor table row 46</x:v>
      </x:c>
      <x:c r="J50" s="2"/>
      <x:c r="K50" s="2"/>
      <x:c r="L50" s="2"/>
      <x:c r="M50" s="2"/>
    </x:row>
    <x:row r="51" ht="44" customHeight="1">
      <x:c r="A51" s="2" t="n">
        <x:v>47</x:v>
      </x:c>
      <x:c r="B51" s="8" t="str">
        <x:v>R20,R23,R26,R33</x:v>
      </x:c>
      <x:c r="C51" s="8" t="n">
        <x:v>4</x:v>
      </x:c>
      <x:c r="D51" s="8" t="str">
        <x:v>100k</x:v>
      </x:c>
      <x:c r="E51" s="8" t="str">
        <x:v>依廠商列示；封裝／高度仍需確認</x:v>
      </x:c>
      <x:c r="F51" s="7"/>
      <x:c r="G51" s="2" t="str">
        <x:f>IF(ISNUMBER(F51),C51*F51,"待報價")</x:f>
        <x:v>待報價</x:v>
      </x:c>
      <x:c r="H51" s="2"/>
      <x:c r="I51" s="2" t="str">
        <x:v>NTHU_TEST_BOARD_BOM.docx vendor table row 47</x:v>
      </x:c>
      <x:c r="J51" s="2"/>
      <x:c r="K51" s="2"/>
      <x:c r="L51" s="2"/>
      <x:c r="M51" s="2"/>
    </x:row>
    <x:row r="52" ht="44" customHeight="1">
      <x:c r="A52" s="2" t="n">
        <x:v>48</x:v>
      </x:c>
      <x:c r="B52" s="8" t="str">
        <x:v>R27</x:v>
      </x:c>
      <x:c r="C52" s="8" t="n">
        <x:v>1</x:v>
      </x:c>
      <x:c r="D52" s="8" t="str">
        <x:v>100M</x:v>
      </x:c>
      <x:c r="E52" s="8" t="str">
        <x:v>依廠商列示；封裝／高度仍需確認</x:v>
      </x:c>
      <x:c r="F52" s="7"/>
      <x:c r="G52" s="2" t="str">
        <x:f>IF(ISNUMBER(F52),C52*F52,"待報價")</x:f>
        <x:v>待報價</x:v>
      </x:c>
      <x:c r="H52" s="2"/>
      <x:c r="I52" s="2" t="str">
        <x:v>NTHU_TEST_BOARD_BOM.docx vendor table row 48</x:v>
      </x:c>
      <x:c r="J52" s="2"/>
      <x:c r="K52" s="2"/>
      <x:c r="L52" s="2"/>
      <x:c r="M52" s="2"/>
    </x:row>
    <x:row r="53" ht="44" customHeight="1">
      <x:c r="A53" s="2" t="n">
        <x:v>49</x:v>
      </x:c>
      <x:c r="B53" s="8" t="str">
        <x:v>R34</x:v>
      </x:c>
      <x:c r="C53" s="8" t="n">
        <x:v>1</x:v>
      </x:c>
      <x:c r="D53" s="8" t="str">
        <x:v>0.1R</x:v>
      </x:c>
      <x:c r="E53" s="8" t="str">
        <x:v>依廠商列示；封裝／高度仍需確認</x:v>
      </x:c>
      <x:c r="F53" s="7"/>
      <x:c r="G53" s="2" t="str">
        <x:f>IF(ISNUMBER(F53),C53*F53,"待報價")</x:f>
        <x:v>待報價</x:v>
      </x:c>
      <x:c r="H53" s="2"/>
      <x:c r="I53" s="2" t="str">
        <x:v>NTHU_TEST_BOARD_BOM.docx vendor table row 49</x:v>
      </x:c>
      <x:c r="J53" s="2"/>
      <x:c r="K53" s="2"/>
      <x:c r="L53" s="2"/>
      <x:c r="M53" s="2"/>
    </x:row>
    <x:row r="54" ht="44" customHeight="1">
      <x:c r="A54" s="2" t="n">
        <x:v>50</x:v>
      </x:c>
      <x:c r="B54" s="8" t="str">
        <x:v>R37,R38</x:v>
      </x:c>
      <x:c r="C54" s="8" t="n">
        <x:v>2</x:v>
      </x:c>
      <x:c r="D54" s="8" t="str">
        <x:v>47R</x:v>
      </x:c>
      <x:c r="E54" s="8" t="str">
        <x:v>依廠商列示；封裝／高度仍需確認</x:v>
      </x:c>
      <x:c r="F54" s="7"/>
      <x:c r="G54" s="2" t="str">
        <x:f>IF(ISNUMBER(F54),C54*F54,"待報價")</x:f>
        <x:v>待報價</x:v>
      </x:c>
      <x:c r="H54" s="2"/>
      <x:c r="I54" s="2" t="str">
        <x:v>NTHU_TEST_BOARD_BOM.docx vendor table row 50</x:v>
      </x:c>
      <x:c r="J54" s="2"/>
      <x:c r="K54" s="2"/>
      <x:c r="L54" s="2"/>
      <x:c r="M54" s="2"/>
    </x:row>
    <x:row r="55" ht="44" customHeight="1">
      <x:c r="A55" s="2" t="n">
        <x:v>51</x:v>
      </x:c>
      <x:c r="B55" s="8" t="str">
        <x:v>SW1</x:v>
      </x:c>
      <x:c r="C55" s="8" t="n">
        <x:v>1</x:v>
      </x:c>
      <x:c r="D55" s="8" t="str">
        <x:v>SW1</x:v>
      </x:c>
      <x:c r="E55" s="8" t="str">
        <x:v>依廠商列示；封裝／高度仍需確認</x:v>
      </x:c>
      <x:c r="F55" s="7"/>
      <x:c r="G55" s="2" t="str">
        <x:f>IF(ISNUMBER(F55),C55*F55,"待報價")</x:f>
        <x:v>待報價</x:v>
      </x:c>
      <x:c r="H55" s="2"/>
      <x:c r="I55" s="2" t="str">
        <x:v>NTHU_TEST_BOARD_BOM.docx vendor table row 51</x:v>
      </x:c>
      <x:c r="J55" s="2"/>
      <x:c r="K55" s="2"/>
      <x:c r="L55" s="2"/>
      <x:c r="M55" s="2"/>
    </x:row>
    <x:row r="56" ht="44" customHeight="1">
      <x:c r="A56" s="2" t="n">
        <x:v>52</x:v>
      </x:c>
      <x:c r="B56" s="8" t="str">
        <x:v>SW2,SW3</x:v>
      </x:c>
      <x:c r="C56" s="8" t="n">
        <x:v>2</x:v>
      </x:c>
      <x:c r="D56" s="8" t="str">
        <x:v>Tactile_Switch</x:v>
      </x:c>
      <x:c r="E56" s="8" t="str">
        <x:v>依廠商列示；封裝／高度仍需確認</x:v>
      </x:c>
      <x:c r="F56" s="7"/>
      <x:c r="G56" s="2" t="str">
        <x:f>IF(ISNUMBER(F56),C56*F56,"待報價")</x:f>
        <x:v>待報價</x:v>
      </x:c>
      <x:c r="H56" s="2"/>
      <x:c r="I56" s="2" t="str">
        <x:v>NTHU_TEST_BOARD_BOM.docx vendor table row 52</x:v>
      </x:c>
      <x:c r="J56" s="2"/>
      <x:c r="K56" s="2"/>
      <x:c r="L56" s="2"/>
      <x:c r="M56" s="2"/>
    </x:row>
    <x:row r="57" ht="44" customHeight="1">
      <x:c r="A57" s="2" t="n">
        <x:v>53</x:v>
      </x:c>
      <x:c r="B57" s="8" t="str">
        <x:v>U1</x:v>
      </x:c>
      <x:c r="C57" s="8" t="n">
        <x:v>1</x:v>
      </x:c>
      <x:c r="D57" s="8" t="str">
        <x:v>TPS61023</x:v>
      </x:c>
      <x:c r="E57" s="8" t="str">
        <x:v>依廠商列示；封裝／高度仍需確認</x:v>
      </x:c>
      <x:c r="F57" s="7"/>
      <x:c r="G57" s="2" t="str">
        <x:f>IF(ISNUMBER(F57),C57*F57,"待報價")</x:f>
        <x:v>待報價</x:v>
      </x:c>
      <x:c r="H57" s="2"/>
      <x:c r="I57" s="2" t="str">
        <x:v>NTHU_TEST_BOARD_BOM.docx vendor table row 53</x:v>
      </x:c>
      <x:c r="J57" s="2"/>
      <x:c r="K57" s="2"/>
      <x:c r="L57" s="2"/>
      <x:c r="M57" s="2"/>
    </x:row>
    <x:row r="58" ht="44" customHeight="1">
      <x:c r="A58" s="2" t="n">
        <x:v>54</x:v>
      </x:c>
      <x:c r="B58" s="8" t="str">
        <x:v>U2</x:v>
      </x:c>
      <x:c r="C58" s="8" t="n">
        <x:v>1</x:v>
      </x:c>
      <x:c r="D58" s="8" t="str">
        <x:v>BQ24074</x:v>
      </x:c>
      <x:c r="E58" s="8" t="str">
        <x:v>依廠商列示；封裝／高度仍需確認</x:v>
      </x:c>
      <x:c r="F58" s="7"/>
      <x:c r="G58" s="2" t="str">
        <x:f>IF(ISNUMBER(F58),C58*F58,"待報價")</x:f>
        <x:v>待報價</x:v>
      </x:c>
      <x:c r="H58" s="2"/>
      <x:c r="I58" s="2" t="str">
        <x:v>NTHU_TEST_BOARD_BOM.docx vendor table row 54</x:v>
      </x:c>
      <x:c r="J58" s="2"/>
      <x:c r="K58" s="2"/>
      <x:c r="L58" s="2"/>
      <x:c r="M58" s="2"/>
    </x:row>
    <x:row r="59" ht="44" customHeight="1">
      <x:c r="A59" s="2" t="n">
        <x:v>55</x:v>
      </x:c>
      <x:c r="B59" s="8" t="str">
        <x:v>U3</x:v>
      </x:c>
      <x:c r="C59" s="8" t="n">
        <x:v>1</x:v>
      </x:c>
      <x:c r="D59" s="8" t="str"/>
      <x:c r="E59" s="8" t="str">
        <x:v>廠商未提供完整值／MPN</x:v>
      </x:c>
      <x:c r="F59" s="7"/>
      <x:c r="G59" s="2" t="str">
        <x:f>IF(ISNUMBER(F59),C59*F59,"待報價")</x:f>
        <x:v>待報價</x:v>
      </x:c>
      <x:c r="H59" s="2"/>
      <x:c r="I59" s="2" t="str">
        <x:v>NTHU_TEST_BOARD_BOM.docx vendor table row 55</x:v>
      </x:c>
      <x:c r="J59" s="2"/>
      <x:c r="K59" s="2"/>
      <x:c r="L59" s="2"/>
      <x:c r="M59" s="2"/>
    </x:row>
    <x:row r="60" ht="44" customHeight="1">
      <x:c r="A60" s="2" t="n">
        <x:v>56</x:v>
      </x:c>
      <x:c r="B60" s="8" t="str">
        <x:v>U4</x:v>
      </x:c>
      <x:c r="C60" s="8" t="n">
        <x:v>1</x:v>
      </x:c>
      <x:c r="D60" s="8" t="str">
        <x:v>ESP32-WROOM-32E</x:v>
      </x:c>
      <x:c r="E60" s="8" t="str">
        <x:v>依廠商列示；封裝／高度仍需確認</x:v>
      </x:c>
      <x:c r="F60" s="7"/>
      <x:c r="G60" s="2" t="str">
        <x:f>IF(ISNUMBER(F60),C60*F60,"待報價")</x:f>
        <x:v>待報價</x:v>
      </x:c>
      <x:c r="H60" s="2"/>
      <x:c r="I60" s="2" t="str">
        <x:v>NTHU_TEST_BOARD_BOM.docx vendor table row 56</x:v>
      </x:c>
      <x:c r="J60" s="2"/>
      <x:c r="K60" s="2"/>
      <x:c r="L60" s="2"/>
      <x:c r="M60" s="2"/>
    </x:row>
    <x:row r="61" ht="44" customHeight="1">
      <x:c r="A61" s="2" t="n">
        <x:v>57</x:v>
      </x:c>
      <x:c r="B61" s="8" t="str">
        <x:v>U5</x:v>
      </x:c>
      <x:c r="C61" s="8" t="n">
        <x:v>1</x:v>
      </x:c>
      <x:c r="D61" s="8" t="str">
        <x:v>EC50117KBG</x:v>
      </x:c>
      <x:c r="E61" s="8" t="str">
        <x:v>依廠商列示；封裝／高度仍需確認</x:v>
      </x:c>
      <x:c r="F61" s="7"/>
      <x:c r="G61" s="2" t="str">
        <x:f>IF(ISNUMBER(F61),C61*F61,"待報價")</x:f>
        <x:v>待報價</x:v>
      </x:c>
      <x:c r="H61" s="2"/>
      <x:c r="I61" s="2" t="str">
        <x:v>NTHU_TEST_BOARD_BOM.docx vendor table row 57</x:v>
      </x:c>
      <x:c r="J61" s="2"/>
      <x:c r="K61" s="2"/>
      <x:c r="L61" s="2"/>
      <x:c r="M61" s="2"/>
    </x:row>
    <x:row r="62" ht="44" customHeight="1">
      <x:c r="A62" s="2" t="n">
        <x:v>58</x:v>
      </x:c>
      <x:c r="B62" s="8" t="str">
        <x:v>U6</x:v>
      </x:c>
      <x:c r="C62" s="8" t="n">
        <x:v>1</x:v>
      </x:c>
      <x:c r="D62" s="8" t="str">
        <x:v>LP5907MFX-3.3/NOPB</x:v>
      </x:c>
      <x:c r="E62" s="8" t="str">
        <x:v>依廠商列示；封裝／高度仍需確認</x:v>
      </x:c>
      <x:c r="F62" s="7"/>
      <x:c r="G62" s="2" t="str">
        <x:f>IF(ISNUMBER(F62),C62*F62,"待報價")</x:f>
        <x:v>待報價</x:v>
      </x:c>
      <x:c r="H62" s="2"/>
      <x:c r="I62" s="2" t="str">
        <x:v>NTHU_TEST_BOARD_BOM.docx vendor table row 58</x:v>
      </x:c>
      <x:c r="J62" s="2"/>
      <x:c r="K62" s="2"/>
      <x:c r="L62" s="2"/>
      <x:c r="M62" s="2"/>
    </x:row>
    <x:row r="63" ht="44" customHeight="1">
      <x:c r="A63" s="2" t="n">
        <x:v>59</x:v>
      </x:c>
      <x:c r="B63" s="8" t="str">
        <x:v>U7</x:v>
      </x:c>
      <x:c r="C63" s="8" t="n">
        <x:v>1</x:v>
      </x:c>
      <x:c r="D63" s="8" t="str">
        <x:v>LTC6655BHMS8-2.5#PBF</x:v>
      </x:c>
      <x:c r="E63" s="8" t="str">
        <x:v>依廠商列示；封裝／高度仍需確認</x:v>
      </x:c>
      <x:c r="F63" s="7"/>
      <x:c r="G63" s="2" t="str">
        <x:f>IF(ISNUMBER(F63),C63*F63,"待報價")</x:f>
        <x:v>待報價</x:v>
      </x:c>
      <x:c r="H63" s="2"/>
      <x:c r="I63" s="2" t="str">
        <x:v>NTHU_TEST_BOARD_BOM.docx vendor table row 59</x:v>
      </x:c>
      <x:c r="J63" s="2"/>
      <x:c r="K63" s="2"/>
      <x:c r="L63" s="2"/>
      <x:c r="M63" s="2"/>
    </x:row>
    <x:row r="64" ht="44" customHeight="1">
      <x:c r="A64" s="2" t="n">
        <x:v>60</x:v>
      </x:c>
      <x:c r="B64" s="8" t="str">
        <x:v>U8</x:v>
      </x:c>
      <x:c r="C64" s="8" t="n">
        <x:v>1</x:v>
      </x:c>
      <x:c r="D64" s="8" t="str">
        <x:v>LMP7721</x:v>
      </x:c>
      <x:c r="E64" s="8" t="str">
        <x:v>依廠商列示；封裝／高度仍需確認</x:v>
      </x:c>
      <x:c r="F64" s="7"/>
      <x:c r="G64" s="2" t="str">
        <x:f>IF(ISNUMBER(F64),C64*F64,"待報價")</x:f>
        <x:v>待報價</x:v>
      </x:c>
      <x:c r="H64" s="2"/>
      <x:c r="I64" s="2" t="str">
        <x:v>NTHU_TEST_BOARD_BOM.docx vendor table row 60</x:v>
      </x:c>
      <x:c r="J64" s="2"/>
      <x:c r="K64" s="2"/>
      <x:c r="L64" s="2"/>
      <x:c r="M64" s="2"/>
    </x:row>
    <x:row r="65" ht="44" customHeight="1">
      <x:c r="A65" s="2" t="n">
        <x:v>61</x:v>
      </x:c>
      <x:c r="B65" s="8" t="str">
        <x:v>U9</x:v>
      </x:c>
      <x:c r="C65" s="8" t="n">
        <x:v>1</x:v>
      </x:c>
      <x:c r="D65" s="8" t="str">
        <x:v>ADS8866IDGS</x:v>
      </x:c>
      <x:c r="E65" s="8" t="str">
        <x:v>依廠商列示；封裝／高度仍需確認</x:v>
      </x:c>
      <x:c r="F65" s="7"/>
      <x:c r="G65" s="2" t="str">
        <x:f>IF(ISNUMBER(F65),C65*F65,"待報價")</x:f>
        <x:v>待報價</x:v>
      </x:c>
      <x:c r="H65" s="2"/>
      <x:c r="I65" s="2" t="str">
        <x:v>NTHU_TEST_BOARD_BOM.docx vendor table row 61</x:v>
      </x:c>
      <x:c r="J65" s="2"/>
      <x:c r="K65" s="2"/>
      <x:c r="L65" s="2"/>
      <x:c r="M65" s="2"/>
    </x:row>
    <x:row r="66" ht="3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3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</x:sheetData>
  <x:pageMargins left="0.7" right="0.7" top="0.75" bottom="0.75" header="0.3" footer="0.3"/>
</x:worksheet>
</file>