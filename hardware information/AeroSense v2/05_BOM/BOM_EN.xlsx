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4f29fc259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e55dd7ded24f54"/>
    <x:sheet xmlns:r="http://schemas.openxmlformats.org/officeDocument/2006/relationships" name="Printed" sheetId="2" r:id="R1473929d5e2f47d8"/>
    <x:sheet xmlns:r="http://schemas.openxmlformats.org/officeDocument/2006/relationships" name="Purchase" sheetId="3" r:id="Rb23f3a49e7d34f95"/>
    <x:sheet xmlns:r="http://schemas.openxmlformats.org/officeDocument/2006/relationships" name="PCB" sheetId="4" r:id="R71b9ef60aa2b42c4"/>
    <x:sheet xmlns:r="http://schemas.openxmlformats.org/officeDocument/2006/relationships" name="Print_batches" sheetId="5" r:id="R121e9cf825bf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6">
    <x:font>
      <x:sz val="11"/>
      <x:name val="Carlito"/>
    </x:font>
    <x:font>
      <x:sz val="10"/>
      <x:color rgb="FF243746"/>
      <x:name val="Microsoft JhengHei"/>
    </x:font>
    <x:font>
      <x:b/>
      <x:sz val="15"/>
      <x:color rgb="FF243746"/>
      <x:name val="Microsoft JhengHei"/>
    </x:font>
    <x:font>
      <x:sz val="9"/>
      <x:color rgb="FF637585"/>
      <x:name val="Microsoft JhengHei"/>
    </x:font>
    <x:font>
      <x:b/>
      <x:sz val="10"/>
      <x:color rgb="FFFFFFFF"/>
      <x:name val="Microsoft JhengHei"/>
    </x:font>
    <x:font>
      <x:b/>
      <x:sz val="10"/>
      <x:color rgb="FF243746"/>
      <x:name val="Microsoft JhengHei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3c8ccd6c024b9d" /><Relationship Type="http://schemas.openxmlformats.org/officeDocument/2006/relationships/theme" Target="/xl/theme/theme1.xml" Id="Ra33cefb379db431f" /><Relationship Type="http://schemas.openxmlformats.org/officeDocument/2006/relationships/sharedStrings" Target="/xl/sharedStrings.xml" Id="Rabd21007120745ff" /><Relationship Type="http://schemas.openxmlformats.org/officeDocument/2006/relationships/worksheet" Target="/xl/worksheets/sheet1.xml" Id="R38e55dd7ded24f54" /><Relationship Type="http://schemas.openxmlformats.org/officeDocument/2006/relationships/worksheet" Target="/xl/worksheets/sheet2.xml" Id="R1473929d5e2f47d8" /><Relationship Type="http://schemas.openxmlformats.org/officeDocument/2006/relationships/worksheet" Target="/xl/worksheets/sheet3.xml" Id="Rb23f3a49e7d34f95" /><Relationship Type="http://schemas.openxmlformats.org/officeDocument/2006/relationships/worksheet" Target="/xl/worksheets/sheet4.xml" Id="R71b9ef60aa2b42c4" /><Relationship Type="http://schemas.openxmlformats.org/officeDocument/2006/relationships/worksheet" Target="/xl/worksheets/sheet5.xml" Id="R121e9cf825bf42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4" hidden="0" customWidth="1"/>
    <x:col min="5" max="5" width="38" hidden="0" customWidth="1"/>
    <x:col min="6" max="6" width="22" hidden="0" customWidth="1"/>
    <x:col min="7" max="7" width="4" hidden="0" customWidth="1"/>
    <x:col min="8" max="8" width="4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AeroSense materials and cost</x:v>
      </x:c>
      <x:c r="B2" s="2"/>
      <x:c r="C2" s="2"/>
      <x:c r="D2" s="2"/>
      <x:c r="E2" s="2"/>
      <x:c r="F2" s="2"/>
      <x:c r="G2" s="2"/>
      <x:c r="H2" s="2"/>
    </x:row>
    <x:row r="3" ht="28" customHeight="1">
      <x:c r="A3" s="4" t="str">
        <x:v>Dual-currency budget. Listings, proxies and allowances are identified.</x:v>
      </x:c>
      <x:c r="B3" s="2"/>
      <x:c r="C3" s="2"/>
      <x:c r="D3" s="2"/>
      <x:c r="E3" s="2"/>
      <x:c r="F3" s="2"/>
      <x:c r="G3" s="2"/>
      <x:c r="H3" s="2"/>
    </x:row>
    <x:row r="4" ht="48" customHeight="1">
      <x:c r="A4" s="8" t="str">
        <x:v>Item</x:v>
      </x:c>
      <x:c r="B4" s="8" t="str">
        <x:v>NTD</x:v>
      </x:c>
      <x:c r="C4" s="8" t="str">
        <x:v>USD</x:v>
      </x:c>
      <x:c r="D4" s="2"/>
      <x:c r="E4" s="10" t="str">
        <x:v>Input</x:v>
      </x:c>
      <x:c r="F4" s="10" t="str">
        <x:v>Value</x:v>
      </x:c>
      <x:c r="G4" s="2"/>
      <x:c r="H4" s="2"/>
    </x:row>
    <x:row r="5" ht="110" customHeight="1">
      <x:c r="A5" s="10" t="str">
        <x:v>Required printing</x:v>
      </x:c>
      <x:c r="B5" s="12" t="n">
        <x:f>IF(ISNUMBER(Print_batches!K8),Print_batches!K8,"Unconfirmed")</x:f>
        <x:v>1115.3856</x:v>
      </x:c>
      <x:c r="C5" s="12" t="n">
        <x:f>IF(ISNUMBER(Print_batches!L8),Print_batches!L8,"Unconfirmed")</x:f>
        <x:v>35.069504794843574</x:v>
      </x:c>
      <x:c r="D5" s="2"/>
      <x:c r="E5" s="10" t="str">
        <x:v>NTD per USD</x:v>
      </x:c>
      <x:c r="F5" s="11" t="n">
        <x:v>31.805</x:v>
      </x:c>
      <x:c r="G5" s="2"/>
      <x:c r="H5" s="10" t="str">
        <x:v>2026-10-05 15:13 displayed snapshot: USD spot buy 31.705, sell 31.805. Budget conversion uses sell 31.805, not an October 8 live execution quote.
https://www.bot.com.tw/tw/personal-banking/foreign-exchange</x:v>
      </x:c>
    </x:row>
    <x:row r="6" ht="46" customHeight="1">
      <x:c r="A6" s="10" t="str">
        <x:v>Required purchases at used quantity</x:v>
      </x:c>
      <x:c r="B6" s="12" t="n">
        <x:f>IF(COUNTIFS(Purchase!G5:G30,"Required",Purchase!W5:W30,"OK")=COUNTIF(Purchase!G5:G30,"Required"),SUMIFS(Purchase!N5:N30,Purchase!G5:G30,"Required"),"Unconfirmed")</x:f>
        <x:v>13133.4052</x:v>
      </x:c>
      <x:c r="C6" s="12" t="n">
        <x:f>IF(COUNTIFS(Purchase!G5:G30,"Required",Purchase!W5:W30,"OK")=COUNTIF(Purchase!G5:G30,"Required"),SUMIFS(Purchase!O5:O30,Purchase!G5:G30,"Required"),"Unconfirmed")</x:f>
        <x:v>412.9352365980192</x:v>
      </x:c>
      <x:c r="D6" s="2"/>
      <x:c r="E6" s="10" t="str">
        <x:v>PCB quote for two NTD</x:v>
      </x:c>
      <x:c r="F6" s="11" t="n">
        <x:v>131250</x:v>
      </x:c>
      <x:c r="G6" s="2"/>
      <x:c r="H6" s="2"/>
    </x:row>
    <x:row r="7" ht="46" customHeight="1">
      <x:c r="A7" s="15" t="str">
        <x:v>Required budget excluding PCB</x:v>
      </x:c>
      <x:c r="B7" s="16" t="n">
        <x:f>IF(COUNT(B5:B6)=2,SUM(B5:B6),"Unconfirmed")</x:f>
        <x:v>14248.790799999999</x:v>
      </x:c>
      <x:c r="C7" s="16" t="n">
        <x:f>IF(COUNT(C5:C6)=2,SUM(C5:C6),"Unconfirmed")</x:f>
        <x:v>448.00474139286274</x:v>
      </x:c>
      <x:c r="D7" s="2"/>
      <x:c r="E7" s="10" t="str">
        <x:v>Quoted board count</x:v>
      </x:c>
      <x:c r="F7" s="11" t="n">
        <x:v>2</x:v>
      </x:c>
      <x:c r="G7" s="2"/>
      <x:c r="H7" s="2"/>
    </x:row>
    <x:row r="8" ht="46" customHeight="1">
      <x:c r="A8" s="10" t="str">
        <x:v>PCB allocation from this quote</x:v>
      </x:c>
      <x:c r="B8" s="12" t="n">
        <x:f>IF(AND(ISNUMBER($F$6),$F$6&gt;=0,ISNUMBER($F$7),$F$7&gt;0,ISNUMBER($F$5),$F$5&gt;0),$F$6/$F$7,"Unconfirmed")</x:f>
        <x:v>65625</x:v>
      </x:c>
      <x:c r="C8" s="12" t="n">
        <x:f>IF(AND(ISNUMBER($F$6),$F$6&gt;=0,ISNUMBER($F$7),$F$7&gt;0,ISNUMBER($F$5),$F$5&gt;0),$F$6/$F$7/$F$5,"Unconfirmed")</x:f>
        <x:v>2063.354818424776</x:v>
      </x:c>
      <x:c r="D8" s="2"/>
      <x:c r="E8" s="10" t="str">
        <x:v>FX snapshot</x:v>
      </x:c>
      <x:c r="F8" s="10" t="str">
        <x:v>2026-10-05 15:13</x:v>
      </x:c>
      <x:c r="G8" s="2"/>
      <x:c r="H8" s="2"/>
    </x:row>
    <x:row r="9" ht="46" customHeight="1">
      <x:c r="A9" s="15" t="str">
        <x:v>Required device budget</x:v>
      </x:c>
      <x:c r="B9" s="16" t="n">
        <x:f>IF(COUNT(B7:B8)=2,SUM(B7:B8),"Unconfirmed")</x:f>
        <x:v>79873.7908</x:v>
      </x:c>
      <x:c r="C9" s="16" t="n">
        <x:f>IF(COUNT(C7:C8)=2,SUM(C7:C8),"Unconfirmed")</x:f>
        <x:v>2511.359559817639</x:v>
      </x:c>
      <x:c r="D9" s="2"/>
      <x:c r="E9" s="2"/>
      <x:c r="F9" s="2"/>
      <x:c r="G9" s="2"/>
      <x:c r="H9" s="2"/>
    </x:row>
    <x:row r="10" ht="46" customHeight="1">
      <x:c r="A10" s="10" t="str">
        <x:v>Required purchases in whole packs</x:v>
      </x:c>
      <x:c r="B10" s="12" t="n">
        <x:f>IF(COUNTIFS(Purchase!G5:G30,"Required",Purchase!W5:W30,"OK")=COUNTIF(Purchase!G5:G30,"Required"),SUMIFS(Purchase!Q5:Q30,Purchase!G5:G30,"Required"),"Unconfirmed")</x:f>
        <x:v>16300.4507</x:v>
      </x:c>
      <x:c r="C10" s="12" t="n">
        <x:f>IF(COUNTIFS(Purchase!G5:G30,"Required",Purchase!W5:W30,"OK")=COUNTIF(Purchase!G5:G30,"Required"),SUMIFS(Purchase!R5:R30,Purchase!G5:G30,"Required"),"Unconfirmed")</x:f>
        <x:v>512.5122056280459</x:v>
      </x:c>
      <x:c r="D10" s="2"/>
      <x:c r="E10" s="2"/>
      <x:c r="F10" s="2"/>
      <x:c r="G10" s="2"/>
      <x:c r="H10" s="2"/>
    </x:row>
    <x:row r="11" ht="60" customHeight="1">
      <x:c r="A11" s="10" t="str">
        <x:v>Developer equipment budget</x:v>
      </x:c>
      <x:c r="B11" s="12" t="n">
        <x:f>IF(COUNTIFS(Purchase!G5:G30,"Developer",Purchase!W5:W30,"OK")=COUNTIF(Purchase!G5:G30,"Developer"),SUMIFS(Purchase!N5:N30,Purchase!G5:G30,"Developer"),"Unconfirmed")</x:f>
        <x:v>38612.18275</x:v>
      </x:c>
      <x:c r="C11" s="12" t="n">
        <x:f>IF(COUNTIFS(Purchase!G5:G30,"Developer",Purchase!W5:W30,"OK")=COUNTIF(Purchase!G5:G30,"Developer"),SUMIFS(Purchase!O5:O30,Purchase!G5:G30,"Developer"),"Unconfirmed")</x:f>
        <x:v>1214.0286983178744</x:v>
      </x:c>
      <x:c r="D11" s="2"/>
      <x:c r="E11" s="10" t="str">
        <x:v>Required: prints, PCB and assembly materials. Developer: external gas delivery, testing and flashing equipment; borrow where possible.</x:v>
      </x:c>
      <x:c r="F11" s="2"/>
      <x:c r="G11" s="2"/>
      <x:c r="H11" s="2"/>
    </x:row>
    <x:row r="12" ht="46" customHeight="1">
      <x:c r="A12" s="10" t="str">
        <x:v>Developer new-purchase budget</x:v>
      </x:c>
      <x:c r="B12" s="12" t="n">
        <x:f>IF(COUNTIFS(Purchase!G5:G30,"Developer",Purchase!W5:W30,"OK")=COUNTIF(Purchase!G5:G30,"Developer"),SUMIFS(Purchase!Q5:Q30,Purchase!G5:G30,"Developer"),"Unconfirmed")</x:f>
        <x:v>38612.18275</x:v>
      </x:c>
      <x:c r="C12" s="12" t="n">
        <x:f>IF(COUNTIFS(Purchase!G5:G30,"Developer",Purchase!W5:W30,"OK")=COUNTIF(Purchase!G5:G30,"Developer"),SUMIFS(Purchase!R5:R30,Purchase!G5:G30,"Developer"),"Unconfirmed")</x:f>
        <x:v>1214.0286983178744</x:v>
      </x:c>
      <x:c r="D12" s="2"/>
      <x:c r="E12" s="2"/>
      <x:c r="F12" s="2"/>
      <x:c r="G12" s="2"/>
      <x:c r="H12" s="2"/>
    </x:row>
    <x:row r="13" ht="60" customHeight="1">
      <x:c r="A13" s="10" t="str">
        <x:v>Future allowance</x:v>
      </x:c>
      <x:c r="B13" s="12" t="n">
        <x:f>IF(COUNTIFS(Purchase!G5:G30,"Future",Purchase!W5:W30,"OK")=COUNTIF(Purchase!G5:G30,"Future"),SUMIFS(Purchase!N5:N30,Purchase!G5:G30,"Future"),"Unconfirmed")</x:f>
        <x:v>7500</x:v>
      </x:c>
      <x:c r="C13" s="12" t="n">
        <x:f>IF(COUNTIFS(Purchase!G5:G30,"Future",Purchase!W5:W30,"OK")=COUNTIF(Purchase!G5:G30,"Future"),SUMIFS(Purchase!O5:O30,Purchase!G5:G30,"Future"),"Unconfirmed")</x:f>
        <x:v>235.8119792485458</x:v>
      </x:c>
      <x:c r="D13" s="2"/>
      <x:c r="E13" s="10" t="str">
        <x:v>L01 gas delivery and L04 flow measurement remain necessary for gas experiments.</x:v>
      </x:c>
      <x:c r="F13" s="2"/>
      <x:c r="G13" s="2"/>
      <x:c r="H13" s="2"/>
    </x:row>
    <x:row r="14" ht="46" customHeight="1">
      <x:c r="A14" s="10" t="str">
        <x:v>PCB priced-material subtotal</x:v>
      </x:c>
      <x:c r="B14" s="12" t="n">
        <x:f>PCB!L68</x:f>
        <x:v>1954</x:v>
      </x:c>
      <x:c r="C14" s="12" t="n">
        <x:f>PCB!M68</x:f>
        <x:v>61.436880993554496</x:v>
      </x:c>
      <x:c r="D14" s="2"/>
      <x:c r="E14" s="2"/>
      <x:c r="F14" s="2"/>
      <x:c r="G14" s="2"/>
      <x:c r="H14" s="2"/>
    </x:row>
    <x:row r="15" ht="60" customHeight="1">
      <x:c r="A15" s="10" t="str">
        <x:v>PCB unpriced rows</x:v>
      </x:c>
      <x:c r="B15" s="10" t="n">
        <x:f>ROWS(PCB!J5:J65)-COUNT(PCB!J5:J65)</x:f>
        <x:v>1</x:v>
      </x:c>
      <x:c r="C15" s="10" t="n">
        <x:f>ROWS(PCB!J5:J65)-COUNT(PCB!J5:J65)</x:f>
        <x:v>1</x:v>
      </x:c>
      <x:c r="D15" s="2"/>
      <x:c r="E15" s="10" t="str">
        <x:v>Future items are excluded from current budgets. PDMS, valves and environment sensing are not integrated.</x:v>
      </x:c>
      <x:c r="F15" s="2"/>
      <x:c r="G15" s="2"/>
      <x:c r="H15" s="2"/>
    </x:row>
    <x:row r="16" ht="74" customHeight="1">
      <x:c r="A16" s="15" t="str">
        <x:v>Confirmed order-ready total</x:v>
      </x:c>
      <x:c r="B16" s="15" t="str">
        <x:v>Custom filter and other details pending</x:v>
      </x:c>
      <x:c r="C16" s="15" t="str">
        <x:v>Custom filter and other details pending</x:v>
      </x:c>
      <x:c r="D16" s="2"/>
      <x:c r="E16" s="2"/>
      <x:c r="F16" s="2"/>
      <x:c r="G16" s="2"/>
      <x:c r="H16" s="2"/>
    </x:row>
    <x:row r="17" ht="60" customHeight="1">
      <x:c r="A17" s="2"/>
      <x:c r="B17" s="2"/>
      <x:c r="C17" s="2"/>
      <x:c r="D17" s="2"/>
      <x:c r="E17" s="10" t="str">
        <x:v>Listed is an observed price. Proxy has specification differences. Allowance is a planning value, not a verified selling price.</x:v>
      </x:c>
      <x:c r="F17" s="2"/>
      <x:c r="G17" s="2"/>
      <x:c r="H17" s="2"/>
    </x:row>
    <x:row r="18" ht="28" customHeight="1">
      <x:c r="A18" s="2"/>
      <x:c r="B18" s="2"/>
      <x:c r="C18" s="2"/>
      <x:c r="D18" s="2"/>
      <x:c r="E18" s="2"/>
      <x:c r="F18" s="2"/>
      <x:c r="G18" s="2"/>
      <x:c r="H18" s="2"/>
    </x:row>
    <x:row r="19" ht="60" customHeight="1">
      <x:c r="A19" s="2"/>
      <x:c r="B19" s="2"/>
      <x:c r="C19" s="2"/>
      <x:c r="D19" s="2"/>
      <x:c r="E19" s="10" t="str">
        <x:v>Device budget includes NTD 12,000 for a custom filter. The 12.5 mm reference filter is too large and too thick.</x:v>
      </x:c>
      <x:c r="F19" s="2"/>
      <x:c r="G19" s="2"/>
      <x:c r="H19" s="2"/>
    </x:row>
    <x:row r="20" ht="28" customHeight="1">
      <x:c r="A20" s="2"/>
      <x:c r="B20" s="2"/>
      <x:c r="C20" s="2"/>
      <x:c r="D20" s="2"/>
      <x:c r="E20" s="2"/>
      <x:c r="F20" s="2"/>
      <x:c r="G20" s="2"/>
      <x:c r="H20" s="2"/>
    </x:row>
    <x:row r="21" ht="60" customHeight="1">
      <x:c r="A21" s="2"/>
      <x:c r="B21" s="2"/>
      <x:c r="C21" s="2"/>
      <x:c r="D21" s="2"/>
      <x:c r="E21" s="10" t="str">
        <x:v>Used cost differs from whole-pack spending. Two filters are used; the reference box has 100. Owned quantity defaults to 0.</x:v>
      </x:c>
      <x:c r="F21" s="2"/>
      <x:c r="G21" s="2"/>
      <x:c r="H21" s="2"/>
    </x:row>
    <x:row r="22" ht="28" customHeight="1">
      <x:c r="A22" s="2"/>
      <x:c r="B22" s="2"/>
      <x:c r="C22" s="2"/>
      <x:c r="D22" s="2"/>
      <x:c r="E22" s="2"/>
      <x:c r="F22" s="2"/>
      <x:c r="G22" s="2"/>
      <x:c r="H22" s="2"/>
    </x:row>
    <x:row r="23" ht="60" customHeight="1">
      <x:c r="A23" s="2"/>
      <x:c r="B23" s="2"/>
      <x:c r="C23" s="2"/>
      <x:c r="D23" s="2"/>
      <x:c r="E23" s="10" t="str">
        <x:v>PCB quote: NTD 131,250 for two including design/setup. NTD 65,625 is an allocation, not production pricing. Do not add component costs again.</x:v>
      </x:c>
      <x:c r="F23" s="2"/>
      <x:c r="G23" s="2"/>
      <x:c r="H23" s="2"/>
    </x:row>
    <x:row r="24" ht="28" customHeight="1">
      <x:c r="A24" s="2"/>
      <x:c r="B24" s="2"/>
      <x:c r="C24" s="2"/>
      <x:c r="D24" s="2"/>
      <x:c r="E24" s="2"/>
      <x:c r="F24" s="2"/>
      <x:c r="G24" s="2"/>
      <x:c r="H24" s="2"/>
    </x:row>
    <x:row r="25" ht="60" customHeight="1">
      <x:c r="A25" s="2"/>
      <x:c r="B25" s="2"/>
      <x:c r="C25" s="2"/>
      <x:c r="D25" s="2"/>
      <x:c r="E25" s="10" t="str">
        <x:v>Shipping, extra taxes, unlisted labor, reprints, cell culture and existing capital-equipment replacement are excluded.</x:v>
      </x:c>
      <x:c r="F25" s="2"/>
      <x:c r="G25" s="2"/>
      <x:c r="H25" s="2"/>
    </x:row>
    <x:row r="26" ht="28" customHeight="1">
      <x:c r="A26" s="2"/>
      <x:c r="B26" s="2"/>
      <x:c r="C26" s="2"/>
      <x:c r="D26" s="2"/>
      <x:c r="E26" s="2"/>
      <x:c r="F26" s="2"/>
      <x:c r="G26" s="2"/>
      <x:c r="H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</x:row>
    <x:row r="28" ht="28" customHeight="1">
      <x:c r="A28" s="2"/>
      <x:c r="B28" s="2"/>
      <x:c r="C28" s="2"/>
      <x:c r="D28" s="2"/>
      <x:c r="E28" s="2"/>
      <x:c r="F28" s="2"/>
      <x:c r="G28" s="2"/>
      <x:c r="H28" s="2"/>
    </x:row>
    <x:row r="29" ht="28" customHeight="1">
      <x:c r="A29" s="2"/>
      <x:c r="B29" s="2"/>
      <x:c r="C29" s="2"/>
      <x:c r="D29" s="2"/>
      <x:c r="E29" s="2"/>
      <x:c r="F29" s="2"/>
      <x:c r="G29" s="2"/>
      <x:c r="H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</x:row>
    <x:row r="37" ht="28" customHeight="1">
      <x:c r="A37" s="2"/>
      <x:c r="B37" s="2"/>
      <x:c r="C37" s="2"/>
      <x:c r="D37" s="2"/>
      <x:c r="E37" s="2"/>
      <x:c r="F37" s="2"/>
      <x:c r="G37" s="2"/>
      <x:c r="H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</x:row>
    <x:row r="39" ht="28" customHeight="1">
      <x:c r="A39" s="2"/>
      <x:c r="B39" s="2"/>
      <x:c r="C39" s="2"/>
      <x:c r="D39" s="2"/>
      <x:c r="E39" s="2"/>
      <x:c r="F39" s="2"/>
      <x:c r="G39" s="2"/>
      <x:c r="H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</x:row>
    <x:row r="47" ht="28" customHeight="1">
      <x:c r="A47" s="2"/>
      <x:c r="B47" s="2"/>
      <x:c r="C47" s="2"/>
      <x:c r="D47" s="2"/>
      <x:c r="E47" s="2"/>
      <x:c r="F47" s="2"/>
      <x:c r="G47" s="2"/>
      <x:c r="H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</x:row>
    <x:row r="49" ht="28" customHeight="1">
      <x:c r="A49" s="2"/>
      <x:c r="B49" s="2"/>
      <x:c r="C49" s="2"/>
      <x:c r="D49" s="2"/>
      <x:c r="E49" s="2"/>
      <x:c r="F49" s="2"/>
      <x:c r="G49" s="2"/>
      <x:c r="H49" s="2"/>
    </x:row>
    <x:row r="50" ht="28" customHeight="1">
      <x:c r="A50" s="2"/>
      <x:c r="B50" s="2"/>
      <x:c r="C50" s="2"/>
      <x:c r="D50" s="2"/>
      <x:c r="E50" s="2"/>
      <x:c r="F50" s="2"/>
      <x:c r="G50" s="2"/>
      <x:c r="H50" s="2"/>
    </x:row>
    <x:row r="51" ht="28" customHeight="1">
      <x:c r="A51" s="2"/>
      <x:c r="B51" s="2"/>
      <x:c r="C51" s="2"/>
      <x:c r="D51" s="2"/>
      <x:c r="E51" s="2"/>
      <x:c r="F51" s="2"/>
      <x:c r="G51" s="2"/>
      <x:c r="H51" s="2"/>
    </x:row>
    <x:row r="52" ht="28" customHeight="1">
      <x:c r="A52" s="2"/>
      <x:c r="B52" s="2"/>
      <x:c r="C52" s="2"/>
      <x:c r="D52" s="2"/>
      <x:c r="E52" s="2"/>
      <x:c r="F52" s="2"/>
      <x:c r="G52" s="2"/>
      <x:c r="H52" s="2"/>
    </x:row>
    <x:row r="53" ht="28" customHeight="1">
      <x:c r="A53" s="2"/>
      <x:c r="B53" s="2"/>
      <x:c r="C53" s="2"/>
      <x:c r="D53" s="2"/>
      <x:c r="E53" s="2"/>
      <x:c r="F53" s="2"/>
      <x:c r="G53" s="2"/>
      <x:c r="H53" s="2"/>
    </x:row>
    <x:row r="54" ht="28" customHeight="1">
      <x:c r="A54" s="2"/>
      <x:c r="B54" s="2"/>
      <x:c r="C54" s="2"/>
      <x:c r="D54" s="2"/>
      <x:c r="E54" s="2"/>
      <x:c r="F54" s="2"/>
      <x:c r="G54" s="2"/>
      <x:c r="H54" s="2"/>
    </x:row>
    <x:row r="55" ht="28" customHeight="1">
      <x:c r="A55" s="2"/>
      <x:c r="B55" s="2"/>
      <x:c r="C55" s="2"/>
      <x:c r="D55" s="2"/>
      <x:c r="E55" s="2"/>
      <x:c r="F55" s="2"/>
      <x:c r="G55" s="2"/>
      <x:c r="H55" s="2"/>
    </x:row>
    <x:row r="56" ht="28" customHeight="1">
      <x:c r="A56" s="2"/>
      <x:c r="B56" s="2"/>
      <x:c r="C56" s="2"/>
      <x:c r="D56" s="2"/>
      <x:c r="E56" s="2"/>
      <x:c r="F56" s="2"/>
      <x:c r="G56" s="2"/>
      <x:c r="H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</x:row>
    <x:row r="58" ht="28" customHeight="1">
      <x:c r="A58" s="2"/>
      <x:c r="B58" s="2"/>
      <x:c r="C58" s="2"/>
      <x:c r="D58" s="2"/>
      <x:c r="E58" s="2"/>
      <x:c r="F58" s="2"/>
      <x:c r="G58" s="2"/>
      <x:c r="H58" s="2"/>
    </x:row>
    <x:row r="59" ht="28" customHeight="1">
      <x:c r="A59" s="2"/>
      <x:c r="B59" s="2"/>
      <x:c r="C59" s="2"/>
      <x:c r="D59" s="2"/>
      <x:c r="E59" s="2"/>
      <x:c r="F59" s="2"/>
      <x:c r="G59" s="2"/>
      <x:c r="H59" s="2"/>
    </x:row>
    <x:row r="60" ht="28" customHeight="1">
      <x:c r="A60" s="2"/>
      <x:c r="B60" s="2"/>
      <x:c r="C60" s="2"/>
      <x:c r="D60" s="2"/>
      <x:c r="E60" s="2"/>
      <x:c r="F60" s="2"/>
      <x:c r="G60" s="2"/>
      <x:c r="H60" s="2"/>
    </x:row>
    <x:row r="61" ht="28" customHeight="1">
      <x:c r="A61" s="2"/>
      <x:c r="B61" s="2"/>
      <x:c r="C61" s="2"/>
      <x:c r="D61" s="2"/>
      <x:c r="E61" s="2"/>
      <x:c r="F61" s="2"/>
      <x:c r="G61" s="2"/>
      <x:c r="H61" s="2"/>
    </x:row>
    <x:row r="62" ht="28" customHeight="1">
      <x:c r="A62" s="2"/>
      <x:c r="B62" s="2"/>
      <x:c r="C62" s="2"/>
      <x:c r="D62" s="2"/>
      <x:c r="E62" s="2"/>
      <x:c r="F62" s="2"/>
      <x:c r="G62" s="2"/>
      <x:c r="H62" s="2"/>
    </x:row>
    <x:row r="63" ht="28" customHeight="1">
      <x:c r="A63" s="2"/>
      <x:c r="B63" s="2"/>
      <x:c r="C63" s="2"/>
      <x:c r="D63" s="2"/>
      <x:c r="E63" s="2"/>
      <x:c r="F63" s="2"/>
      <x:c r="G63" s="2"/>
      <x:c r="H63" s="2"/>
    </x:row>
    <x:row r="64" ht="28" customHeight="1">
      <x:c r="A64" s="2"/>
      <x:c r="B64" s="2"/>
      <x:c r="C64" s="2"/>
      <x:c r="D64" s="2"/>
      <x:c r="E64" s="2"/>
      <x:c r="F64" s="2"/>
      <x:c r="G64" s="2"/>
      <x:c r="H64" s="2"/>
    </x:row>
    <x:row r="65" ht="28" customHeight="1">
      <x:c r="A65" s="2"/>
      <x:c r="B65" s="2"/>
      <x:c r="C65" s="2"/>
      <x:c r="D65" s="2"/>
      <x:c r="E65" s="2"/>
      <x:c r="F65" s="2"/>
      <x:c r="G65" s="2"/>
      <x:c r="H65" s="2"/>
    </x:row>
    <x:row r="66" ht="28" customHeight="1">
      <x:c r="A66" s="2"/>
      <x:c r="B66" s="2"/>
      <x:c r="C66" s="2"/>
      <x:c r="D66" s="2"/>
      <x:c r="E66" s="2"/>
      <x:c r="F66" s="2"/>
      <x:c r="G66" s="2"/>
      <x:c r="H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</x:row>
    <x:row r="68" ht="28" customHeight="1">
      <x:c r="A68" s="2"/>
      <x:c r="B68" s="2"/>
      <x:c r="C68" s="2"/>
      <x:c r="D68" s="2"/>
      <x:c r="E68" s="2"/>
      <x:c r="F68" s="2"/>
      <x:c r="G68" s="2"/>
      <x:c r="H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</x:row>
    <x:row r="70" ht="28" customHeight="1">
      <x:c r="A70" s="2"/>
      <x:c r="B70" s="2"/>
      <x:c r="C70" s="2"/>
      <x:c r="D70" s="2"/>
      <x:c r="E70" s="2"/>
      <x:c r="F70" s="2"/>
      <x:c r="G70" s="2"/>
      <x:c r="H70" s="2"/>
    </x:row>
    <x:row r="71" ht="28" customHeight="1">
      <x:c r="A71" s="2"/>
      <x:c r="B71" s="2"/>
      <x:c r="C71" s="2"/>
      <x:c r="D71" s="2"/>
      <x:c r="E71" s="2"/>
      <x:c r="F71" s="2"/>
      <x:c r="G71" s="2"/>
      <x:c r="H71" s="2"/>
    </x:row>
    <x:row r="72" ht="28" customHeight="1">
      <x:c r="A72" s="2"/>
      <x:c r="B72" s="2"/>
      <x:c r="C72" s="2"/>
      <x:c r="D72" s="2"/>
      <x:c r="E72" s="2"/>
      <x:c r="F72" s="2"/>
      <x:c r="G72" s="2"/>
      <x:c r="H72" s="2"/>
    </x:row>
    <x:row r="73" ht="28" customHeight="1">
      <x:c r="A73" s="2"/>
      <x:c r="B73" s="2"/>
      <x:c r="C73" s="2"/>
      <x:c r="D73" s="2"/>
      <x:c r="E73" s="2"/>
      <x:c r="F73" s="2"/>
      <x:c r="G73" s="2"/>
      <x:c r="H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</x:row>
    <x:row r="81" ht="28" customHeight="1">
      <x:c r="A81" s="2"/>
      <x:c r="B81" s="2"/>
      <x:c r="C81" s="2"/>
      <x:c r="D81" s="2"/>
      <x:c r="E81" s="2"/>
      <x:c r="F81" s="2"/>
      <x:c r="G81" s="2"/>
      <x:c r="H81" s="2"/>
    </x:row>
    <x:row r="82" ht="28" customHeight="1">
      <x:c r="A82" s="2"/>
      <x:c r="B82" s="2"/>
      <x:c r="C82" s="2"/>
      <x:c r="D82" s="2"/>
      <x:c r="E82" s="2"/>
      <x:c r="F82" s="2"/>
      <x:c r="G82" s="2"/>
      <x:c r="H82" s="2"/>
    </x:row>
    <x:row r="83" ht="28" customHeight="1">
      <x:c r="A83" s="2"/>
      <x:c r="B83" s="2"/>
      <x:c r="C83" s="2"/>
      <x:c r="D83" s="2"/>
      <x:c r="E83" s="2"/>
      <x:c r="F83" s="2"/>
      <x:c r="G83" s="2"/>
      <x:c r="H83" s="2"/>
    </x:row>
    <x:row r="84" ht="28" customHeight="1">
      <x:c r="A84" s="2"/>
      <x:c r="B84" s="2"/>
      <x:c r="C84" s="2"/>
      <x:c r="D84" s="2"/>
      <x:c r="E84" s="2"/>
      <x:c r="F84" s="2"/>
      <x:c r="G84" s="2"/>
      <x:c r="H84" s="2"/>
    </x:row>
    <x:row r="85" ht="28" customHeight="1">
      <x:c r="A85" s="2"/>
      <x:c r="B85" s="2"/>
      <x:c r="C85" s="2"/>
      <x:c r="D85" s="2"/>
      <x:c r="E85" s="2"/>
      <x:c r="F85" s="2"/>
      <x:c r="G85" s="2"/>
      <x:c r="H85" s="2"/>
    </x:row>
    <x:row r="86" ht="28" customHeight="1">
      <x:c r="A86" s="2"/>
      <x:c r="B86" s="2"/>
      <x:c r="C86" s="2"/>
      <x:c r="D86" s="2"/>
      <x:c r="E86" s="2"/>
      <x:c r="F86" s="2"/>
      <x:c r="G86" s="2"/>
      <x:c r="H86" s="2"/>
    </x:row>
    <x:row r="87" ht="28" customHeight="1">
      <x:c r="A87" s="2"/>
      <x:c r="B87" s="2"/>
      <x:c r="C87" s="2"/>
      <x:c r="D87" s="2"/>
      <x:c r="E87" s="2"/>
      <x:c r="F87" s="2"/>
      <x:c r="G87" s="2"/>
      <x:c r="H87" s="2"/>
    </x:row>
    <x:row r="88" ht="28" customHeight="1">
      <x:c r="A88" s="2"/>
      <x:c r="B88" s="2"/>
      <x:c r="C88" s="2"/>
      <x:c r="D88" s="2"/>
      <x:c r="E88" s="2"/>
      <x:c r="F88" s="2"/>
      <x:c r="G88" s="2"/>
      <x:c r="H88" s="2"/>
    </x:row>
    <x:row r="89" ht="28" customHeight="1">
      <x:c r="A89" s="2"/>
      <x:c r="B89" s="2"/>
      <x:c r="C89" s="2"/>
      <x:c r="D89" s="2"/>
      <x:c r="E89" s="2"/>
      <x:c r="F89" s="2"/>
      <x:c r="G89" s="2"/>
      <x:c r="H89" s="2"/>
    </x:row>
    <x:row r="90" ht="28" customHeight="1">
      <x:c r="A90" s="2"/>
      <x:c r="B90" s="2"/>
      <x:c r="C90" s="2"/>
      <x:c r="D90" s="2"/>
      <x:c r="E90" s="2"/>
      <x:c r="F90" s="2"/>
      <x:c r="G90" s="2"/>
      <x:c r="H90" s="2"/>
    </x:row>
    <x:row r="91" ht="28" customHeight="1">
      <x:c r="A91" s="2"/>
      <x:c r="B91" s="2"/>
      <x:c r="C91" s="2"/>
      <x:c r="D91" s="2"/>
      <x:c r="E91" s="2"/>
      <x:c r="F91" s="2"/>
      <x:c r="G91" s="2"/>
      <x:c r="H91" s="2"/>
    </x:row>
    <x:row r="92" ht="28" customHeight="1">
      <x:c r="A92" s="2"/>
      <x:c r="B92" s="2"/>
      <x:c r="C92" s="2"/>
      <x:c r="D92" s="2"/>
      <x:c r="E92" s="2"/>
      <x:c r="F92" s="2"/>
      <x:c r="G92" s="2"/>
      <x:c r="H92" s="2"/>
    </x:row>
    <x:row r="93" ht="28" customHeight="1">
      <x:c r="A93" s="2"/>
      <x:c r="B93" s="2"/>
      <x:c r="C93" s="2"/>
      <x:c r="D93" s="2"/>
      <x:c r="E93" s="2"/>
      <x:c r="F93" s="2"/>
      <x:c r="G93" s="2"/>
      <x:c r="H93" s="2"/>
    </x:row>
    <x:row r="94" ht="28" customHeight="1">
      <x:c r="A94" s="2"/>
      <x:c r="B94" s="2"/>
      <x:c r="C94" s="2"/>
      <x:c r="D94" s="2"/>
      <x:c r="E94" s="2"/>
      <x:c r="F94" s="2"/>
      <x:c r="G94" s="2"/>
      <x:c r="H94" s="2"/>
    </x:row>
    <x:row r="95" ht="28" customHeight="1">
      <x:c r="A95" s="2"/>
      <x:c r="B95" s="2"/>
      <x:c r="C95" s="2"/>
      <x:c r="D95" s="2"/>
      <x:c r="E95" s="2"/>
      <x:c r="F95" s="2"/>
      <x:c r="G95" s="2"/>
      <x:c r="H95" s="2"/>
    </x:row>
    <x:row r="96" ht="28" customHeight="1">
      <x:c r="A96" s="2"/>
      <x:c r="B96" s="2"/>
      <x:c r="C96" s="2"/>
      <x:c r="D96" s="2"/>
      <x:c r="E96" s="2"/>
      <x:c r="F96" s="2"/>
      <x:c r="G96" s="2"/>
      <x:c r="H96" s="2"/>
    </x:row>
    <x:row r="97" ht="28" customHeight="1">
      <x:c r="A97" s="2"/>
      <x:c r="B97" s="2"/>
      <x:c r="C97" s="2"/>
      <x:c r="D97" s="2"/>
      <x:c r="E97" s="2"/>
      <x:c r="F97" s="2"/>
      <x:c r="G97" s="2"/>
      <x:c r="H97" s="2"/>
    </x:row>
    <x:row r="98" ht="28" customHeight="1">
      <x:c r="A98" s="2"/>
      <x:c r="B98" s="2"/>
      <x:c r="C98" s="2"/>
      <x:c r="D98" s="2"/>
      <x:c r="E98" s="2"/>
      <x:c r="F98" s="2"/>
      <x:c r="G98" s="2"/>
      <x:c r="H98" s="2"/>
    </x:row>
    <x:row r="99" ht="28" customHeight="1">
      <x:c r="A99" s="2"/>
      <x:c r="B99" s="2"/>
      <x:c r="C99" s="2"/>
      <x:c r="D99" s="2"/>
      <x:c r="E99" s="2"/>
      <x:c r="F99" s="2"/>
      <x:c r="G99" s="2"/>
      <x:c r="H99" s="2"/>
    </x:row>
    <x:row r="100" ht="28" customHeight="1">
      <x:c r="A100" s="2"/>
      <x:c r="B100" s="2"/>
      <x:c r="C100" s="2"/>
      <x:c r="D100" s="2"/>
      <x:c r="E100" s="2"/>
      <x:c r="F100" s="2"/>
      <x:c r="G100" s="2"/>
      <x:c r="H100" s="2"/>
    </x:row>
    <x:row r="101" ht="28" customHeight="1">
      <x:c r="A101" s="2"/>
      <x:c r="B101" s="2"/>
      <x:c r="C101" s="2"/>
      <x:c r="D101" s="2"/>
      <x:c r="E101" s="2"/>
      <x:c r="F101" s="2"/>
      <x:c r="G101" s="2"/>
      <x:c r="H101" s="2"/>
    </x:row>
    <x:row r="102" ht="28" customHeight="1">
      <x:c r="A102" s="2"/>
      <x:c r="B102" s="2"/>
      <x:c r="C102" s="2"/>
      <x:c r="D102" s="2"/>
      <x:c r="E102" s="2"/>
      <x:c r="F102" s="2"/>
      <x:c r="G102" s="2"/>
      <x:c r="H102" s="2"/>
    </x:row>
    <x:row r="103" ht="28" customHeight="1">
      <x:c r="A103" s="2"/>
      <x:c r="B103" s="2"/>
      <x:c r="C103" s="2"/>
      <x:c r="D103" s="2"/>
      <x:c r="E103" s="2"/>
      <x:c r="F103" s="2"/>
      <x:c r="G103" s="2"/>
      <x:c r="H103" s="2"/>
    </x:row>
    <x:row r="104" ht="28" customHeight="1">
      <x:c r="A104" s="2"/>
      <x:c r="B104" s="2"/>
      <x:c r="C104" s="2"/>
      <x:c r="D104" s="2"/>
      <x:c r="E104" s="2"/>
      <x:c r="F104" s="2"/>
      <x:c r="G104" s="2"/>
      <x:c r="H104" s="2"/>
    </x:row>
    <x:row r="105" ht="28" customHeight="1">
      <x:c r="A105" s="2"/>
      <x:c r="B105" s="2"/>
      <x:c r="C105" s="2"/>
      <x:c r="D105" s="2"/>
      <x:c r="E105" s="2"/>
      <x:c r="F105" s="2"/>
      <x:c r="G105" s="2"/>
      <x:c r="H105" s="2"/>
    </x:row>
    <x:row r="106" ht="28" customHeight="1">
      <x:c r="A106" s="2"/>
      <x:c r="B106" s="2"/>
      <x:c r="C106" s="2"/>
      <x:c r="D106" s="2"/>
      <x:c r="E106" s="2"/>
      <x:c r="F106" s="2"/>
      <x:c r="G106" s="2"/>
      <x:c r="H106" s="2"/>
    </x:row>
    <x:row r="107" ht="28" customHeight="1">
      <x:c r="A107" s="2"/>
      <x:c r="B107" s="2"/>
      <x:c r="C107" s="2"/>
      <x:c r="D107" s="2"/>
      <x:c r="E107" s="2"/>
      <x:c r="F107" s="2"/>
      <x:c r="G107" s="2"/>
      <x:c r="H107" s="2"/>
    </x:row>
    <x:row r="108" ht="28" customHeight="1">
      <x:c r="A108" s="2"/>
      <x:c r="B108" s="2"/>
      <x:c r="C108" s="2"/>
      <x:c r="D108" s="2"/>
      <x:c r="E108" s="2"/>
      <x:c r="F108" s="2"/>
      <x:c r="G108" s="2"/>
      <x:c r="H108" s="2"/>
    </x:row>
    <x:row r="109" ht="28" customHeight="1">
      <x:c r="A109" s="2"/>
      <x:c r="B109" s="2"/>
      <x:c r="C109" s="2"/>
      <x:c r="D109" s="2"/>
      <x:c r="E109" s="2"/>
      <x:c r="F109" s="2"/>
      <x:c r="G109" s="2"/>
      <x:c r="H109" s="2"/>
    </x:row>
    <x:row r="110" ht="28" customHeight="1">
      <x:c r="A110" s="2"/>
      <x:c r="B110" s="2"/>
      <x:c r="C110" s="2"/>
      <x:c r="D110" s="2"/>
      <x:c r="E110" s="2"/>
      <x:c r="F110" s="2"/>
      <x:c r="G110" s="2"/>
      <x:c r="H110" s="2"/>
    </x:row>
    <x:row r="111" ht="28" customHeight="1">
      <x:c r="A111" s="2"/>
      <x:c r="B111" s="2"/>
      <x:c r="C111" s="2"/>
      <x:c r="D111" s="2"/>
      <x:c r="E111" s="2"/>
      <x:c r="F111" s="2"/>
      <x:c r="G111" s="2"/>
      <x:c r="H111" s="2"/>
    </x:row>
    <x:row r="112" ht="28" customHeight="1">
      <x:c r="A112" s="2"/>
      <x:c r="B112" s="2"/>
      <x:c r="C112" s="2"/>
      <x:c r="D112" s="2"/>
      <x:c r="E112" s="2"/>
      <x:c r="F112" s="2"/>
      <x:c r="G112" s="2"/>
      <x:c r="H112" s="2"/>
    </x:row>
    <x:row r="113" ht="28" customHeight="1">
      <x:c r="A113" s="2"/>
      <x:c r="B113" s="2"/>
      <x:c r="C113" s="2"/>
      <x:c r="D113" s="2"/>
      <x:c r="E113" s="2"/>
      <x:c r="F113" s="2"/>
      <x:c r="G113" s="2"/>
      <x:c r="H113" s="2"/>
    </x:row>
    <x:row r="114" ht="28" customHeight="1">
      <x:c r="A114" s="2"/>
      <x:c r="B114" s="2"/>
      <x:c r="C114" s="2"/>
      <x:c r="D114" s="2"/>
      <x:c r="E114" s="2"/>
      <x:c r="F114" s="2"/>
      <x:c r="G114" s="2"/>
      <x:c r="H114" s="2"/>
    </x:row>
    <x:row r="115" ht="28" customHeight="1">
      <x:c r="A115" s="2"/>
      <x:c r="B115" s="2"/>
      <x:c r="C115" s="2"/>
      <x:c r="D115" s="2"/>
      <x:c r="E115" s="2"/>
      <x:c r="F115" s="2"/>
      <x:c r="G115" s="2"/>
      <x:c r="H115" s="2"/>
    </x:row>
    <x:row r="116" ht="28" customHeight="1">
      <x:c r="A116" s="2"/>
      <x:c r="B116" s="2"/>
      <x:c r="C116" s="2"/>
      <x:c r="D116" s="2"/>
      <x:c r="E116" s="2"/>
      <x:c r="F116" s="2"/>
      <x:c r="G116" s="2"/>
      <x:c r="H116" s="2"/>
    </x:row>
    <x:row r="117" ht="28" customHeight="1">
      <x:c r="A117" s="2"/>
      <x:c r="B117" s="2"/>
      <x:c r="C117" s="2"/>
      <x:c r="D117" s="2"/>
      <x:c r="E117" s="2"/>
      <x:c r="F117" s="2"/>
      <x:c r="G117" s="2"/>
      <x:c r="H117" s="2"/>
    </x:row>
    <x:row r="118" ht="28" customHeight="1">
      <x:c r="A118" s="2"/>
      <x:c r="B118" s="2"/>
      <x:c r="C118" s="2"/>
      <x:c r="D118" s="2"/>
      <x:c r="E118" s="2"/>
      <x:c r="F118" s="2"/>
      <x:c r="G118" s="2"/>
      <x:c r="H118" s="2"/>
    </x:row>
    <x:row r="119" ht="28" customHeight="1">
      <x:c r="A119" s="2"/>
      <x:c r="B119" s="2"/>
      <x:c r="C119" s="2"/>
      <x:c r="D119" s="2"/>
      <x:c r="E119" s="2"/>
      <x:c r="F119" s="2"/>
      <x:c r="G119" s="2"/>
      <x:c r="H119" s="2"/>
    </x:row>
    <x:row r="120" ht="28" customHeight="1">
      <x:c r="A120" s="2"/>
      <x:c r="B120" s="2"/>
      <x:c r="C120" s="2"/>
      <x:c r="D120" s="2"/>
      <x:c r="E120" s="2"/>
      <x:c r="F120" s="2"/>
      <x:c r="G120" s="2"/>
      <x:c r="H120" s="2"/>
    </x:row>
  </x:sheetData>
  <x:mergeCells>
    <x:mergeCell ref="E11:H11"/>
    <x:mergeCell ref="E13:H13"/>
    <x:mergeCell ref="E15:H15"/>
    <x:mergeCell ref="E17:H17"/>
    <x:mergeCell ref="E19:H19"/>
    <x:mergeCell ref="E21:H21"/>
    <x:mergeCell ref="E23:H23"/>
    <x:mergeCell ref="E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7" hidden="0" customWidth="1"/>
    <x:col min="4" max="4" width="24" hidden="0" customWidth="1"/>
    <x:col min="5" max="5" width="52" hidden="0" customWidth="1"/>
    <x:col min="6" max="6" width="26" hidden="0" customWidth="1"/>
    <x:col min="7" max="7" width="38" hidden="0" customWidth="1"/>
    <x:col min="8" max="8" width="10" hidden="0" customWidth="1"/>
    <x:col min="9" max="9" width="4" hidden="0" customWidth="1"/>
    <x:col min="10" max="10" width="50" hidden="0" customWidth="1"/>
    <x:col min="11" max="11" width="55" hidden="0" customWidth="1"/>
    <x:col min="12" max="12" width="1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Eight printed parts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4" t="str">
        <x:v>Required. One of each; count batch costs once.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48" customHeight="1">
      <x:c r="A4" s="8" t="str">
        <x:v>ID</x:v>
      </x:c>
      <x:c r="B4" s="8" t="str">
        <x:v>Name</x:v>
      </x:c>
      <x:c r="C4" s="8" t="str">
        <x:v>Qty</x:v>
      </x:c>
      <x:c r="D4" s="8" t="str">
        <x:v>Size mm</x:v>
      </x:c>
      <x:c r="E4" s="8" t="str">
        <x:v>Specification</x:v>
      </x:c>
      <x:c r="F4" s="8" t="str">
        <x:v>Resin</x:v>
      </x:c>
      <x:c r="G4" s="8" t="str">
        <x:v>Purpose and location</x:v>
      </x:c>
      <x:c r="H4" s="8" t="str">
        <x:v>Batch</x:v>
      </x:c>
      <x:c r="I4" s="8" t="str"/>
      <x:c r="J4" s="8" t="str">
        <x:v>STL filename</x:v>
      </x:c>
      <x:c r="K4" s="8" t="str">
        <x:v>Limits and sources</x:v>
      </x:c>
      <x:c r="L4" s="8" t="str">
        <x:v>Class</x:v>
      </x:c>
    </x:row>
    <x:row r="5" ht="63" customHeight="1">
      <x:c r="A5" s="10" t="str">
        <x:v>01</x:v>
      </x:c>
      <x:c r="B5" s="10" t="str">
        <x:v>Integral base</x:v>
      </x:c>
      <x:c r="C5" s="10" t="n">
        <x:v>1</x:v>
      </x:c>
      <x:c r="D5" s="10" t="str">
        <x:v>108 × 108 × 43.3</x:v>
      </x:c>
      <x:c r="E5" s="10" t="str">
        <x:v>108×108×43.3 mm; wall 2.4; PCB pillars topZ38; fan cradle40.6 internal width; antenna opening23×12.6.</x:v>
      </x:c>
      <x:c r="F5" s="10" t="str">
        <x:v>Rigid PC/GF-like Black</x:v>
      </x:c>
      <x:c r="G5" s="10" t="str">
        <x:v>Support PCB, fan, captive nuts and device.
AssemblyZ0–43.3.</x:v>
      </x:c>
      <x:c r="H5" s="10" t="str">
        <x:v>P1</x:v>
      </x:c>
      <x:c r="I5" s="10" t="str"/>
      <x:c r="J5" s="10" t="str">
        <x:v>01_base_BLACK.stl</x:v>
      </x:c>
      <x:c r="K5" s="10" t="str">
        <x:v>Verify PCB/antenna fit, 0.66-mm nominal insertion gap, fan and nut-pocket tolerances.
CAD; ASM; STL</x:v>
      </x:c>
      <x:c r="L5" s="10" t="str">
        <x:v>Required</x:v>
      </x:c>
    </x:row>
    <x:row r="6" ht="78" customHeight="1">
      <x:c r="A6" s="10" t="str">
        <x:v>02</x:v>
      </x:c>
      <x:c r="B6" s="10" t="str">
        <x:v>Black hood with integral well carrier</x:v>
      </x:c>
      <x:c r="C6" s="10" t="n">
        <x:v>1</x:v>
      </x:c>
      <x:c r="D6" s="10" t="str">
        <x:v>108 × 108 × 23.2</x:v>
      </x:c>
      <x:c r="E6" s="10" t="str">
        <x:v>Bounding size 108×108×23.2 mm; carrier20×18; slots5.3×4.1; minimum shared web1.2; filter pocket5.4×4.4.</x:v>
      </x:c>
      <x:c r="F6" s="10" t="str">
        <x:v>Rigid PC/GF-like Black</x:v>
      </x:c>
      <x:c r="G6" s="10" t="str">
        <x:v>Enclose well sides, register wells and support filter.
AssemblyZ40.8–64; carrierZ44.2–55.5; lower optical band open.</x:v>
      </x:c>
      <x:c r="H6" s="10" t="str">
        <x:v>P2</x:v>
      </x:c>
      <x:c r="I6" s="10" t="str"/>
      <x:c r="J6" s="10" t="str">
        <x:v>02_black_hood_BLACK.stl</x:v>
      </x:c>
      <x:c r="K6" s="10" t="str">
        <x:v>Nominal slot clearance0.15 mm/side; verify cured dimensions, opacity470/520 nm, component relief and PD-seal compression.
CAD; ASM; STL</x:v>
      </x:c>
      <x:c r="L6" s="10" t="str">
        <x:v>Required</x:v>
      </x:c>
    </x:row>
    <x:row r="7" ht="78" customHeight="1">
      <x:c r="A7" s="10" t="str">
        <x:v>03</x:v>
      </x:c>
      <x:c r="B7" s="10" t="str">
        <x:v>Gas-path lid</x:v>
      </x:c>
      <x:c r="C7" s="10" t="n">
        <x:v>1</x:v>
      </x:c>
      <x:c r="D7" s="10" t="str">
        <x:v>108 × 108 × 8.1</x:v>
      </x:c>
      <x:c r="E7" s="10" t="str">
        <x:v>Bounding108×108×8.1 mm; shared plenum14.8×12, Z57.3–62.5; integral shelf7.2×8×1.2; tailsID2.4/OD3.4/ridge4 mm.</x:v>
      </x:c>
      <x:c r="F7" s="10" t="str">
        <x:v>Rigid PC/GF-like Black</x:v>
      </x:c>
      <x:c r="G7" s="10" t="str">
        <x:v>Open for well replacement, deflect inlet and form shared gas path.
AssemblyZ57.9–66; inlet-X/outlet+X, axisZ60.8.</x:v>
      </x:c>
      <x:c r="H7" s="10" t="str">
        <x:v>P2</x:v>
      </x:c>
      <x:c r="I7" s="10" t="str"/>
      <x:c r="J7" s="10" t="str">
        <x:v>03_gas_lid_BLACK.stl</x:v>
      </x:c>
      <x:c r="K7" s="10" t="str">
        <x:v>Qualify0.5-mm tail walls, ~4.8-mm coupling engagement, bore cleaning, seal flatness and VOC compatibility; no sterilization certification.
CAD; ASM; STL</x:v>
      </x:c>
      <x:c r="L7" s="10" t="str">
        <x:v>Required</x:v>
      </x:c>
    </x:row>
    <x:row r="8" ht="108" customHeight="1">
      <x:c r="A8" s="10" t="str">
        <x:v>04</x:v>
      </x:c>
      <x:c r="B8" s="10" t="str">
        <x:v>Clear well NE</x:v>
      </x:c>
      <x:c r="C8" s="10" t="n">
        <x:v>1</x:v>
      </x:c>
      <x:c r="D8" s="10" t="str">
        <x:v>5.7 × 4.5 × 13</x:v>
      </x:c>
      <x:c r="E8" s="10" t="str">
        <x:v>Including flange5.7×4.5×13 mm; body5×3.8; liquid cavity4×2.8×12.5; flat floor 0.5/sidewall0.5; nominal100 µL/geometric brim140 µL.</x:v>
      </x:c>
      <x:c r="F8" s="10" t="str">
        <x:v>Aqua Clear Plus</x:v>
      </x:c>
      <x:c r="G8" s="10" t="str">
        <x:v>Individually removable liquid vessel; gas phase shared.
Center(3.3, 2.65); outer floorZ42.5, inner floorZ43, topZ55.5; flange outward.</x:v>
      </x:c>
      <x:c r="H8" s="10" t="str">
        <x:v>P3</x:v>
      </x:c>
      <x:c r="I8" s="10" t="str"/>
      <x:c r="J8" s="10" t="str">
        <x:v>04_well_NE_CLEAR.stl</x:v>
      </x:c>
      <x:c r="K8" s="10" t="str">
        <x:v>Aqua Clear Plus for fit/optical-material qualification only; transmission, tint/autofluorescence, leachables, cell compatibility and seal unverified. Four oriented parts must not be interchanged by rotation or scaled.
CAD; ASM; STL</x:v>
      </x:c>
      <x:c r="L8" s="10" t="str">
        <x:v>Required</x:v>
      </x:c>
    </x:row>
    <x:row r="9" ht="108" customHeight="1">
      <x:c r="A9" s="10" t="str">
        <x:v>05</x:v>
      </x:c>
      <x:c r="B9" s="10" t="str">
        <x:v>Clear well NW</x:v>
      </x:c>
      <x:c r="C9" s="10" t="n">
        <x:v>1</x:v>
      </x:c>
      <x:c r="D9" s="10" t="str">
        <x:v>5.7 × 4.5 × 13</x:v>
      </x:c>
      <x:c r="E9" s="10" t="str">
        <x:v>Including flange5.7×4.5×13 mm; body5×3.8; liquid cavity4×2.8×12.5; flat floor 0.5/sidewall0.5; nominal100 µL/geometric brim140 µL.</x:v>
      </x:c>
      <x:c r="F9" s="10" t="str">
        <x:v>Aqua Clear Plus</x:v>
      </x:c>
      <x:c r="G9" s="10" t="str">
        <x:v>Individually removable liquid vessel; gas phase shared.
Center(-3.3, 2.65); outer floorZ42.5, inner floorZ43, topZ55.5; flange outward.</x:v>
      </x:c>
      <x:c r="H9" s="10" t="str">
        <x:v>P3</x:v>
      </x:c>
      <x:c r="I9" s="10" t="str"/>
      <x:c r="J9" s="10" t="str">
        <x:v>05_well_NW_CLEAR.stl</x:v>
      </x:c>
      <x:c r="K9" s="10" t="str">
        <x:v>Aqua Clear Plus for fit/optical-material qualification only; transmission, tint/autofluorescence, leachables, cell compatibility and seal unverified. Four oriented parts must not be interchanged by rotation or scaled.
CAD; ASM; STL</x:v>
      </x:c>
      <x:c r="L9" s="10" t="str">
        <x:v>Required</x:v>
      </x:c>
    </x:row>
    <x:row r="10" ht="108" customHeight="1">
      <x:c r="A10" s="10" t="str">
        <x:v>06</x:v>
      </x:c>
      <x:c r="B10" s="10" t="str">
        <x:v>Clear well SW</x:v>
      </x:c>
      <x:c r="C10" s="10" t="n">
        <x:v>1</x:v>
      </x:c>
      <x:c r="D10" s="10" t="str">
        <x:v>5.7 × 4.5 × 13</x:v>
      </x:c>
      <x:c r="E10" s="10" t="str">
        <x:v>Including flange5.7×4.5×13 mm; body5×3.8; liquid cavity4×2.8×12.5; flat floor 0.5/sidewall0.5; nominal100 µL/geometric brim140 µL.</x:v>
      </x:c>
      <x:c r="F10" s="10" t="str">
        <x:v>Aqua Clear Plus</x:v>
      </x:c>
      <x:c r="G10" s="10" t="str">
        <x:v>Individually removable liquid vessel; gas phase shared.
Center(-3.3, -2.65); outer floorZ42.5, inner floorZ43, topZ55.5; flange outward.</x:v>
      </x:c>
      <x:c r="H10" s="10" t="str">
        <x:v>P3</x:v>
      </x:c>
      <x:c r="I10" s="10" t="str"/>
      <x:c r="J10" s="10" t="str">
        <x:v>06_well_SW_CLEAR.stl</x:v>
      </x:c>
      <x:c r="K10" s="10" t="str">
        <x:v>Aqua Clear Plus for fit/optical-material qualification only; transmission, tint/autofluorescence, leachables, cell compatibility and seal unverified. Four oriented parts must not be interchanged by rotation or scaled.
CAD; ASM; STL</x:v>
      </x:c>
      <x:c r="L10" s="10" t="str">
        <x:v>Required</x:v>
      </x:c>
    </x:row>
    <x:row r="11" ht="108" customHeight="1">
      <x:c r="A11" s="10" t="str">
        <x:v>07</x:v>
      </x:c>
      <x:c r="B11" s="10" t="str">
        <x:v>Clear well SE</x:v>
      </x:c>
      <x:c r="C11" s="10" t="n">
        <x:v>1</x:v>
      </x:c>
      <x:c r="D11" s="10" t="str">
        <x:v>5.7 × 4.5 × 13</x:v>
      </x:c>
      <x:c r="E11" s="10" t="str">
        <x:v>Including flange5.7×4.5×13 mm; body5×3.8; liquid cavity4×2.8×12.5; flat floor 0.5/sidewall0.5; nominal100 µL/geometric brim140 µL.</x:v>
      </x:c>
      <x:c r="F11" s="10" t="str">
        <x:v>Aqua Clear Plus</x:v>
      </x:c>
      <x:c r="G11" s="10" t="str">
        <x:v>Individually removable liquid vessel; gas phase shared.
Center(3.3, -2.65); outer floorZ42.5, inner floorZ43, topZ55.5; flange outward.</x:v>
      </x:c>
      <x:c r="H11" s="10" t="str">
        <x:v>P3</x:v>
      </x:c>
      <x:c r="I11" s="10" t="str"/>
      <x:c r="J11" s="10" t="str">
        <x:v>07_well_SE_CLEAR.stl</x:v>
      </x:c>
      <x:c r="K11" s="10" t="str">
        <x:v>Aqua Clear Plus for fit/optical-material qualification only; transmission, tint/autofluorescence, leachables, cell compatibility and seal unverified. Four oriented parts must not be interchanged by rotation or scaled.
CAD; ASM; STL</x:v>
      </x:c>
      <x:c r="L11" s="10" t="str">
        <x:v>Required</x:v>
      </x:c>
    </x:row>
    <x:row r="12" ht="78" customHeight="1">
      <x:c r="A12" s="10" t="str">
        <x:v>08</x:v>
      </x:c>
      <x:c r="B12" s="10" t="str">
        <x:v>Four-hole compression plate</x:v>
      </x:c>
      <x:c r="C12" s="10" t="n">
        <x:v>1</x:v>
      </x:c>
      <x:c r="D12" s="10" t="str">
        <x:v>20 × 18 × 1.2</x:v>
      </x:c>
      <x:c r="E12" s="10" t="str">
        <x:v>20×18×1.2 mm; four4×2.8 openings centered(±3.3, ±2.65).</x:v>
      </x:c>
      <x:c r="F12" s="10" t="str">
        <x:v>Rigid PC/GF-like Black</x:v>
      </x:c>
      <x:c r="G12" s="10" t="str">
        <x:v>Distribute cap load onto four well-mouth gaskets.
Above lower four-hole gasket/below upper ring, assemblyZ56.1–57.3.</x:v>
      </x:c>
      <x:c r="H12" s="10" t="str">
        <x:v>P2</x:v>
      </x:c>
      <x:c r="I12" s="10" t="str"/>
      <x:c r="J12" s="10" t="str">
        <x:v>08_gas_compression_plate_BLACK.stl</x:v>
      </x:c>
      <x:c r="K12" s="10" t="str">
        <x:v>Verify flatness, hole registration, compression and cracks; do not omit or compensate warpage by over-tightening.
CAD; ASM; STL</x:v>
      </x:c>
      <x:c r="L12" s="10" t="str">
        <x:v>Required</x:v>
      </x:c>
    </x:row>
    <x:row r="13" ht="28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8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2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2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2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8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8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2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2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2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2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2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2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2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2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2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24" hidden="0" customWidth="1"/>
    <x:col min="3" max="3" width="52" hidden="0" customWidth="1"/>
    <x:col min="4" max="4" width="38" hidden="0" customWidth="1"/>
    <x:col min="5" max="5" width="8" hidden="0" customWidth="1"/>
    <x:col min="6" max="6" width="9" hidden="0" customWidth="1"/>
    <x:col min="7" max="7" width="19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5" hidden="0" customWidth="1"/>
    <x:col min="17" max="17" width="16" hidden="0" customWidth="1"/>
    <x:col min="18" max="18" width="16" hidden="0" customWidth="1"/>
    <x:col min="19" max="19" width="20" hidden="0" customWidth="1"/>
    <x:col min="20" max="20" width="4" hidden="0" customWidth="1"/>
    <x:col min="21" max="21" width="58" hidden="0" customWidth="1"/>
    <x:col min="22" max="22" width="60" hidden="0" customWidth="1"/>
    <x:col min="23" max="23" width="1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8" customHeight="1">
      <x:c r="A2" s="3" t="str">
        <x:v>Purchased materials and equipment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8" customHeight="1">
      <x:c r="A3" s="4" t="str">
        <x:v>Yellow inputs are editable. Owned quantities can include borrowed items.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48" customHeight="1">
      <x:c r="A4" s="8" t="str">
        <x:v>ID</x:v>
      </x:c>
      <x:c r="B4" s="8" t="str">
        <x:v>Name</x:v>
      </x:c>
      <x:c r="C4" s="8" t="str">
        <x:v>Specification</x:v>
      </x:c>
      <x:c r="D4" s="8" t="str">
        <x:v>Purpose and location</x:v>
      </x:c>
      <x:c r="E4" s="8" t="str">
        <x:v>Qty</x:v>
      </x:c>
      <x:c r="F4" s="8" t="str">
        <x:v>Unit</x:v>
      </x:c>
      <x:c r="G4" s="8" t="str">
        <x:v>Class</x:v>
      </x:c>
      <x:c r="H4" s="8" t="str">
        <x:v>Source unit price</x:v>
      </x:c>
      <x:c r="I4" s="8" t="str">
        <x:v>Currency</x:v>
      </x:c>
      <x:c r="J4" s="8" t="str">
        <x:v>Pack units</x:v>
      </x:c>
      <x:c r="K4" s="8" t="str">
        <x:v>Owned qty</x:v>
      </x:c>
      <x:c r="L4" s="8" t="str">
        <x:v>Unit NTD</x:v>
      </x:c>
      <x:c r="M4" s="8" t="str">
        <x:v>Unit USD</x:v>
      </x:c>
      <x:c r="N4" s="8" t="str">
        <x:v>Used NTD</x:v>
      </x:c>
      <x:c r="O4" s="8" t="str">
        <x:v>Used USD</x:v>
      </x:c>
      <x:c r="P4" s="8" t="str">
        <x:v>Packs to buy</x:v>
      </x:c>
      <x:c r="Q4" s="8" t="str">
        <x:v>New NTD</x:v>
      </x:c>
      <x:c r="R4" s="8" t="str">
        <x:v>New USD</x:v>
      </x:c>
      <x:c r="S4" s="8" t="str">
        <x:v>Price type</x:v>
      </x:c>
      <x:c r="T4" s="8" t="str"/>
      <x:c r="U4" s="8" t="str">
        <x:v>Compatibility limits</x:v>
      </x:c>
      <x:c r="V4" s="8" t="str">
        <x:v>Price sources</x:v>
      </x:c>
      <x:c r="W4" s="8" t="str">
        <x:v>Calculation state</x:v>
      </x:c>
    </x:row>
    <x:row r="5" ht="108" customHeight="1">
      <x:c r="A5" s="10" t="str">
        <x:v>F01</x:v>
      </x:c>
      <x:c r="B5" s="10" t="str">
        <x:v>5 V DC axial fan</x:v>
      </x:c>
      <x:c r="C5" s="10" t="str">
        <x:v>40×40×10 mm; mounting pitch 32×32 mm. Existing candidate Sunon MF40100V1-1000U-A99:5 V, rated136 mA/0.68 W; purchase approval pending.</x:v>
      </x:c>
      <x:c r="D5" s="10" t="str">
        <x:v>Cool the electronics; does not regulate sample gas.
Base01 at(-27, -5), bottomZ6/topZ16; airflow from underside toward PCB, two diagonal fixings.</x:v>
      </x:c>
      <x:c r="E5" s="10" t="n">
        <x:v>1</x:v>
      </x:c>
      <x:c r="F5" s="10" t="str">
        <x:v>pc</x:v>
      </x:c>
      <x:c r="G5" s="10" t="str">
        <x:v>Required</x:v>
      </x:c>
      <x:c r="H5" s="14" t="n">
        <x:v>161</x:v>
      </x:c>
      <x:c r="I5" s="11" t="str">
        <x:v>NTD</x:v>
      </x:c>
      <x:c r="J5" s="11" t="n">
        <x:v>1</x:v>
      </x:c>
      <x:c r="K5" s="11" t="n">
        <x:v>0</x:v>
      </x:c>
      <x:c r="L5" s="12" t="n">
        <x:f>IF(AND(ISNUMBER(H5),H5&gt;=0,ISNUMBER(Summary!$F$5),Summary!$F$5&gt;0,OR(I5="NTD",I5="USD")),IF(I5="USD",H5*Summary!$F$5,H5),"")</x:f>
        <x:v>161</x:v>
      </x:c>
      <x:c r="M5" s="12" t="n">
        <x:f>IF(AND(ISNUMBER(H5),H5&gt;=0,ISNUMBER(Summary!$F$5),Summary!$F$5&gt;0,OR(I5="NTD",I5="USD")),IF(I5="USD",H5,H5/Summary!$F$5),"")</x:f>
        <x:v>5.062097154535451</x:v>
      </x:c>
      <x:c r="N5" s="12" t="n">
        <x:f>IF(AND(ISNUMBER(E5),E5&gt;=0,ISNUMBER(L5)),E5*L5,"")</x:f>
        <x:v>161</x:v>
      </x:c>
      <x:c r="O5" s="12" t="n">
        <x:f>IF(AND(ISNUMBER(E5),E5&gt;=0,ISNUMBER(M5)),E5*M5,"")</x:f>
        <x:v>5.062097154535451</x:v>
      </x:c>
      <x:c r="P5" s="10" t="n">
        <x:f>IF(AND(ISNUMBER(E5),E5&gt;=0,ISNUMBER(J5),J5&gt;0,ISNUMBER(K5),K5&gt;=0),ROUNDUP(MAX(0,E5-K5)/J5,0),"")</x:f>
        <x:v>1</x:v>
      </x:c>
      <x:c r="Q5" s="12" t="n">
        <x:f>IF(AND(ISNUMBER(P5),ISNUMBER(L5)),P5*J5*L5,"")</x:f>
        <x:v>161</x:v>
      </x:c>
      <x:c r="R5" s="12" t="n">
        <x:f>IF(AND(ISNUMBER(P5),ISNUMBER(M5)),P5*J5*M5,"")</x:f>
        <x:v>5.062097154535451</x:v>
      </x:c>
      <x:c r="S5" s="10" t="str">
        <x:v>Listed</x:v>
      </x:c>
      <x:c r="T5" s="10" t="str"/>
      <x:c r="U5" s="10" t="str">
        <x:v>Cradle opening40.6 mm; candidate frame40±0.5 leaves only0.05 mm/side at maximum size before print error. Measure frame/pitch/thickness/wires. Vendor must approve5 V connection and startup-current margin; battery-mode5 V capability is unverified. Never use GPIO or an arbitrary3.3 V rail.</x:v>
      </x:c>
      <x:c r="V5" s="10" t="str">
        <x:v>FAN
NTD 161 at quantity 1. Listed out of stock. Shipping and local tax not added.
https://www.digikey.tw/en/products/detail/sunon-fans/MF40100V1-1000U-A99/6198732</x:v>
      </x:c>
      <x:c r="W5" s="10" t="str">
        <x:f>IF(AND(ISNUMBER(N5),ISNUMBER(Q5)),"OK","Missing")</x:f>
        <x:v>OK</x:v>
      </x:c>
    </x:row>
    <x:row r="6" ht="123" customHeight="1">
      <x:c r="A6" s="10" t="str">
        <x:v>H01</x:v>
      </x:c>
      <x:c r="B6" s="10" t="str">
        <x:v>M3×8 screw</x:v>
      </x:c>
      <x:c r="C6" s="10" t="str">
        <x:v>M3 coarse thread, pitch 0.5 mm; under-head length8 mm. Proposed common head: hex-socket cylindrical, ISO4762/DIN912 type, nominal diameter 5.5/height 3/hex key2.5 mm. Flat bearing face; no countersunk or self-tapping screw. Head choice is a procurement proposal, not a tested fit.</x:v>
      </x:c>
      <x:c r="D6" s="10" t="str">
        <x:v>Retain PCB
Four PCB corners(±45, ±40), inserted from optical side.</x:v>
      </x:c>
      <x:c r="E6" s="10" t="n">
        <x:v>4</x:v>
      </x:c>
      <x:c r="F6" s="10" t="str">
        <x:v>pc</x:v>
      </x:c>
      <x:c r="G6" s="10" t="str">
        <x:v>Required</x:v>
      </x:c>
      <x:c r="H6" s="14" t="n">
        <x:v>3</x:v>
      </x:c>
      <x:c r="I6" s="11" t="str">
        <x:v>NTD</x:v>
      </x:c>
      <x:c r="J6" s="11" t="n">
        <x:v>20</x:v>
      </x:c>
      <x:c r="K6" s="11" t="n">
        <x:v>0</x:v>
      </x:c>
      <x:c r="L6" s="12" t="n">
        <x:f>IF(AND(ISNUMBER(H6),H6&gt;=0,ISNUMBER(Summary!$F$5),Summary!$F$5&gt;0,OR(I6="NTD",I6="USD")),IF(I6="USD",H6*Summary!$F$5,H6),"")</x:f>
        <x:v>3</x:v>
      </x:c>
      <x:c r="M6" s="12" t="n">
        <x:f>IF(AND(ISNUMBER(H6),H6&gt;=0,ISNUMBER(Summary!$F$5),Summary!$F$5&gt;0,OR(I6="NTD",I6="USD")),IF(I6="USD",H6,H6/Summary!$F$5),"")</x:f>
        <x:v>0.09432479169941833</x:v>
      </x:c>
      <x:c r="N6" s="12" t="n">
        <x:f>IF(AND(ISNUMBER(E6),E6&gt;=0,ISNUMBER(L6)),E6*L6,"")</x:f>
        <x:v>12</x:v>
      </x:c>
      <x:c r="O6" s="12" t="n">
        <x:f>IF(AND(ISNUMBER(E6),E6&gt;=0,ISNUMBER(M6)),E6*M6,"")</x:f>
        <x:v>0.37729916679767334</x:v>
      </x:c>
      <x:c r="P6" s="10" t="n">
        <x:f>IF(AND(ISNUMBER(E6),E6&gt;=0,ISNUMBER(J6),J6&gt;0,ISNUMBER(K6),K6&gt;=0),ROUNDUP(MAX(0,E6-K6)/J6,0),"")</x:f>
        <x:v>1</x:v>
      </x:c>
      <x:c r="Q6" s="12" t="n">
        <x:f>IF(AND(ISNUMBER(P6),ISNUMBER(L6)),P6*J6*L6,"")</x:f>
        <x:v>60</x:v>
      </x:c>
      <x:c r="R6" s="12" t="n">
        <x:f>IF(AND(ISNUMBER(P6),ISNUMBER(M6)),P6*J6*M6,"")</x:f>
        <x:v>1.8864958339883666</x:v>
      </x:c>
      <x:c r="S6" s="10" t="str">
        <x:v>Allowance</x:v>
      </x:c>
      <x:c r="T6" s="10" t="str"/>
      <x:c r="U6" s="10" t="str">
        <x:v>With0.5 mm washer, nominal under-headZ40.1/tipZ32.1; nut pocketZ33.5–36.2. Verify actual PCB hole, copper keep-out and head clearance. No validated tightening torque for the resin; screw material/finish remain to be specified.</x:v>
      </x:c>
      <x:c r="V6" s="10" t="str">
        <x:v>FASTENER
Listing shows small M3 fasteners around NTD 3 individually. Listed flat-head type is NOT the specified socket cap. Budget allowances 3/4/6 NTD for M3x8/16/35 cap screws, 2 for nuts and 1 for washers; local exact-type prices unverified.
https://www.ruten.com.tw/item/21306183365097/</x:v>
      </x:c>
      <x:c r="W6" s="10" t="str">
        <x:f>IF(AND(ISNUMBER(N6),ISNUMBER(Q6)),"OK","Missing")</x:f>
        <x:v>OK</x:v>
      </x:c>
    </x:row>
    <x:row r="7" ht="123" customHeight="1">
      <x:c r="A7" s="10" t="str">
        <x:v>H02</x:v>
      </x:c>
      <x:c r="B7" s="10" t="str">
        <x:v>M3×16 screw</x:v>
      </x:c>
      <x:c r="C7" s="10" t="str">
        <x:v>M3 coarse thread, pitch 0.5 mm; under-head length16 mm. Proposed common head: hex-socket cylindrical, ISO4762/DIN912 type, nominal diameter 5.5/height 3/hex key2.5 mm. Flat bearing face; no countersunk or self-tapping screw. Head choice is a procurement proposal, not a tested fit.</x:v>
      </x:c>
      <x:c r="D7" s="10" t="str">
        <x:v>Retain fan
From fan top at diagonal(-43, -21), (-11, 11).</x:v>
      </x:c>
      <x:c r="E7" s="10" t="n">
        <x:v>2</x:v>
      </x:c>
      <x:c r="F7" s="10" t="str">
        <x:v>pc</x:v>
      </x:c>
      <x:c r="G7" s="10" t="str">
        <x:v>Required</x:v>
      </x:c>
      <x:c r="H7" s="14" t="n">
        <x:v>4</x:v>
      </x:c>
      <x:c r="I7" s="11" t="str">
        <x:v>NTD</x:v>
      </x:c>
      <x:c r="J7" s="11" t="n">
        <x:v>20</x:v>
      </x:c>
      <x:c r="K7" s="11" t="n">
        <x:v>0</x:v>
      </x:c>
      <x:c r="L7" s="12" t="n">
        <x:f>IF(AND(ISNUMBER(H7),H7&gt;=0,ISNUMBER(Summary!$F$5),Summary!$F$5&gt;0,OR(I7="NTD",I7="USD")),IF(I7="USD",H7*Summary!$F$5,H7),"")</x:f>
        <x:v>4</x:v>
      </x:c>
      <x:c r="M7" s="12" t="n">
        <x:f>IF(AND(ISNUMBER(H7),H7&gt;=0,ISNUMBER(Summary!$F$5),Summary!$F$5&gt;0,OR(I7="NTD",I7="USD")),IF(I7="USD",H7,H7/Summary!$F$5),"")</x:f>
        <x:v>0.1257663889325578</x:v>
      </x:c>
      <x:c r="N7" s="12" t="n">
        <x:f>IF(AND(ISNUMBER(E7),E7&gt;=0,ISNUMBER(L7)),E7*L7,"")</x:f>
        <x:v>8</x:v>
      </x:c>
      <x:c r="O7" s="12" t="n">
        <x:f>IF(AND(ISNUMBER(E7),E7&gt;=0,ISNUMBER(M7)),E7*M7,"")</x:f>
        <x:v>0.2515327778651156</x:v>
      </x:c>
      <x:c r="P7" s="10" t="n">
        <x:f>IF(AND(ISNUMBER(E7),E7&gt;=0,ISNUMBER(J7),J7&gt;0,ISNUMBER(K7),K7&gt;=0),ROUNDUP(MAX(0,E7-K7)/J7,0),"")</x:f>
        <x:v>1</x:v>
      </x:c>
      <x:c r="Q7" s="12" t="n">
        <x:f>IF(AND(ISNUMBER(P7),ISNUMBER(L7)),P7*J7*L7,"")</x:f>
        <x:v>80</x:v>
      </x:c>
      <x:c r="R7" s="12" t="n">
        <x:f>IF(AND(ISNUMBER(P7),ISNUMBER(M7)),P7*J7*M7,"")</x:f>
        <x:v>2.5153277786511556</x:v>
      </x:c>
      <x:c r="S7" s="10" t="str">
        <x:v>Allowance</x:v>
      </x:c>
      <x:c r="T7" s="10" t="str"/>
      <x:c r="U7" s="10" t="str">
        <x:v>For nominal10 mm fan plus0.5 mm washer, under-headZ16.5/tipZ0.5; nut pocketZ0.3–3. Confirm real tolerances: tip must remain above foot planeZ0 and engage the nut. No validated tightening torque for the resin; screw material/finish remain to be specified.</x:v>
      </x:c>
      <x:c r="V7" s="10" t="str">
        <x:v>FASTENER
Listing shows small M3 fasteners around NTD 3 individually. Listed flat-head type is NOT the specified socket cap. Budget allowances 3/4/6 NTD for M3x8/16/35 cap screws, 2 for nuts and 1 for washers; local exact-type prices unverified.
https://www.ruten.com.tw/item/21306183365097/</x:v>
      </x:c>
      <x:c r="W7" s="10" t="str">
        <x:f>IF(AND(ISNUMBER(N7),ISNUMBER(Q7)),"OK","Missing")</x:f>
        <x:v>OK</x:v>
      </x:c>
    </x:row>
    <x:row r="8" ht="123" customHeight="1">
      <x:c r="A8" s="10" t="str">
        <x:v>H03</x:v>
      </x:c>
      <x:c r="B8" s="10" t="str">
        <x:v>M3×35 screw</x:v>
      </x:c>
      <x:c r="C8" s="10" t="str">
        <x:v>M3 coarse thread, pitch 0.5 mm; under-head length35 mm. Proposed common head: hex-socket cylindrical, ISO4762/DIN912 type, nominal diameter 5.5/height 3/hex key2.5 mm. Flat bearing face; no countersunk or self-tapping screw. Head choice is a procurement proposal, not a tested fit.</x:v>
      </x:c>
      <x:c r="D8" s="10" t="str">
        <x:v>Clamp base, hood and removable lid
Down through lid at(-30, -51.8), (30, 47.8) into base nuts.</x:v>
      </x:c>
      <x:c r="E8" s="10" t="n">
        <x:v>2</x:v>
      </x:c>
      <x:c r="F8" s="10" t="str">
        <x:v>pc</x:v>
      </x:c>
      <x:c r="G8" s="10" t="str">
        <x:v>Required</x:v>
      </x:c>
      <x:c r="H8" s="14" t="n">
        <x:v>6</x:v>
      </x:c>
      <x:c r="I8" s="11" t="str">
        <x:v>NTD</x:v>
      </x:c>
      <x:c r="J8" s="11" t="n">
        <x:v>10</x:v>
      </x:c>
      <x:c r="K8" s="11" t="n">
        <x:v>0</x:v>
      </x:c>
      <x:c r="L8" s="12" t="n">
        <x:f>IF(AND(ISNUMBER(H8),H8&gt;=0,ISNUMBER(Summary!$F$5),Summary!$F$5&gt;0,OR(I8="NTD",I8="USD")),IF(I8="USD",H8*Summary!$F$5,H8),"")</x:f>
        <x:v>6</x:v>
      </x:c>
      <x:c r="M8" s="12" t="n">
        <x:f>IF(AND(ISNUMBER(H8),H8&gt;=0,ISNUMBER(Summary!$F$5),Summary!$F$5&gt;0,OR(I8="NTD",I8="USD")),IF(I8="USD",H8,H8/Summary!$F$5),"")</x:f>
        <x:v>0.18864958339883667</x:v>
      </x:c>
      <x:c r="N8" s="12" t="n">
        <x:f>IF(AND(ISNUMBER(E8),E8&gt;=0,ISNUMBER(L8)),E8*L8,"")</x:f>
        <x:v>12</x:v>
      </x:c>
      <x:c r="O8" s="12" t="n">
        <x:f>IF(AND(ISNUMBER(E8),E8&gt;=0,ISNUMBER(M8)),E8*M8,"")</x:f>
        <x:v>0.37729916679767334</x:v>
      </x:c>
      <x:c r="P8" s="10" t="n">
        <x:f>IF(AND(ISNUMBER(E8),E8&gt;=0,ISNUMBER(J8),J8&gt;0,ISNUMBER(K8),K8&gt;=0),ROUNDUP(MAX(0,E8-K8)/J8,0),"")</x:f>
        <x:v>1</x:v>
      </x:c>
      <x:c r="Q8" s="12" t="n">
        <x:f>IF(AND(ISNUMBER(P8),ISNUMBER(L8)),P8*J8*L8,"")</x:f>
        <x:v>60</x:v>
      </x:c>
      <x:c r="R8" s="12" t="n">
        <x:f>IF(AND(ISNUMBER(P8),ISNUMBER(M8)),P8*J8*M8,"")</x:f>
        <x:v>1.8864958339883666</x:v>
      </x:c>
      <x:c r="S8" s="10" t="str">
        <x:v>Allowance</x:v>
      </x:c>
      <x:c r="T8" s="10" t="str"/>
      <x:c r="U8" s="10" t="str">
        <x:v>Existing stack without extra washer: under-headZ66/tipZ31; nut pocketZ33.2–35.9. Head projects beyond66-mm body height. Verify supplier thread length and physical stop; do not over-tighten to force sealing. No validated tightening torque for the resin; screw material/finish remain to be specified.</x:v>
      </x:c>
      <x:c r="V8" s="10" t="str">
        <x:v>FASTENER
Listing shows small M3 fasteners around NTD 3 individually. Listed flat-head type is NOT the specified socket cap. Budget allowances 3/4/6 NTD for M3x8/16/35 cap screws, 2 for nuts and 1 for washers; local exact-type prices unverified.
https://www.ruten.com.tw/item/21306183365097/</x:v>
      </x:c>
      <x:c r="W8" s="10" t="str">
        <x:f>IF(AND(ISNUMBER(N8),ISNUMBER(Q8)),"OK","Missing")</x:f>
        <x:v>OK</x:v>
      </x:c>
    </x:row>
    <x:row r="9" ht="123" customHeight="1">
      <x:c r="A9" s="10" t="str">
        <x:v>H04</x:v>
      </x:c>
      <x:c r="B9" s="10" t="str">
        <x:v>M3 hex nut</x:v>
      </x:c>
      <x:c r="C9" s="10" t="str">
        <x:v>M3×0.5; regular hex nut, 5.5 mm across flats, 2.4 mm high, DIN934/~ISO4032 dimensions; not a tall locknut.</x:v>
      </x:c>
      <x:c r="D9" s="10" t="str">
        <x:v>Mate with the three screw lengths:4 PCB+2 fan+2 enclosure.
Integral base pockets; PCB/enclosure nuts enter side slots, fan nuts from underside.</x:v>
      </x:c>
      <x:c r="E9" s="10" t="n">
        <x:v>8</x:v>
      </x:c>
      <x:c r="F9" s="10" t="str">
        <x:v>pc</x:v>
      </x:c>
      <x:c r="G9" s="10" t="str">
        <x:v>Required</x:v>
      </x:c>
      <x:c r="H9" s="14" t="n">
        <x:v>2</x:v>
      </x:c>
      <x:c r="I9" s="11" t="str">
        <x:v>NTD</x:v>
      </x:c>
      <x:c r="J9" s="11" t="n">
        <x:v>20</x:v>
      </x:c>
      <x:c r="K9" s="11" t="n">
        <x:v>0</x:v>
      </x:c>
      <x:c r="L9" s="12" t="n">
        <x:f>IF(AND(ISNUMBER(H9),H9&gt;=0,ISNUMBER(Summary!$F$5),Summary!$F$5&gt;0,OR(I9="NTD",I9="USD")),IF(I9="USD",H9*Summary!$F$5,H9),"")</x:f>
        <x:v>2</x:v>
      </x:c>
      <x:c r="M9" s="12" t="n">
        <x:f>IF(AND(ISNUMBER(H9),H9&gt;=0,ISNUMBER(Summary!$F$5),Summary!$F$5&gt;0,OR(I9="NTD",I9="USD")),IF(I9="USD",H9,H9/Summary!$F$5),"")</x:f>
        <x:v>0.0628831944662789</x:v>
      </x:c>
      <x:c r="N9" s="12" t="n">
        <x:f>IF(AND(ISNUMBER(E9),E9&gt;=0,ISNUMBER(L9)),E9*L9,"")</x:f>
        <x:v>16</x:v>
      </x:c>
      <x:c r="O9" s="12" t="n">
        <x:f>IF(AND(ISNUMBER(E9),E9&gt;=0,ISNUMBER(M9)),E9*M9,"")</x:f>
        <x:v>0.5030655557302312</x:v>
      </x:c>
      <x:c r="P9" s="10" t="n">
        <x:f>IF(AND(ISNUMBER(E9),E9&gt;=0,ISNUMBER(J9),J9&gt;0,ISNUMBER(K9),K9&gt;=0),ROUNDUP(MAX(0,E9-K9)/J9,0),"")</x:f>
        <x:v>1</x:v>
      </x:c>
      <x:c r="Q9" s="12" t="n">
        <x:f>IF(AND(ISNUMBER(P9),ISNUMBER(L9)),P9*J9*L9,"")</x:f>
        <x:v>40</x:v>
      </x:c>
      <x:c r="R9" s="12" t="n">
        <x:f>IF(AND(ISNUMBER(P9),ISNUMBER(M9)),P9*J9*M9,"")</x:f>
        <x:v>1.2576638893255778</x:v>
      </x:c>
      <x:c r="S9" s="10" t="str">
        <x:v>Allowance</x:v>
      </x:c>
      <x:c r="T9" s="10" t="str"/>
      <x:c r="U9" s="10" t="str">
        <x:v>CAD hex circumradius3.3 gives5.716 mm across flats; pocket height 2.7. Relative to5.5×2.4 nut, total width allowance0.216 and height 0.3 mm; test printed pockets. Match material/finish to screws; do not force or substitute self-tapping.</x:v>
      </x:c>
      <x:c r="V9" s="10" t="str">
        <x:v>FASTENER
Listing shows small M3 fasteners around NTD 3 individually. Listed flat-head type is NOT the specified socket cap. Budget allowances 3/4/6 NTD for M3x8/16/35 cap screws, 2 for nuts and 1 for washers; local exact-type prices unverified.
https://www.ruten.com.tw/item/21306183365097/</x:v>
      </x:c>
      <x:c r="W9" s="10" t="str">
        <x:f>IF(AND(ISNUMBER(N9),ISNUMBER(Q9)),"OK","Missing")</x:f>
        <x:v>OK</x:v>
      </x:c>
    </x:row>
    <x:row r="10" ht="123" customHeight="1">
      <x:c r="A10" s="10" t="str">
        <x:v>H05</x:v>
      </x:c>
      <x:c r="B10" s="10" t="str">
        <x:v>M3 flat washer</x:v>
      </x:c>
      <x:c r="C10" s="10" t="str">
        <x:v>Nominal ID3.2, OD7.0, thickness 0.5 mm; flat form, 6 pieces. M3 does not mean an exact3.0-mm bore.</x:v>
      </x:c>
      <x:c r="D10" s="10" t="str">
        <x:v>Spread head bearing load; 4 PCB+2 fan.
Under each M3×8 and M3×16 head; none additionally counted for M3×35.</x:v>
      </x:c>
      <x:c r="E10" s="10" t="n">
        <x:v>6</x:v>
      </x:c>
      <x:c r="F10" s="10" t="str">
        <x:v>pc</x:v>
      </x:c>
      <x:c r="G10" s="10" t="str">
        <x:v>Required</x:v>
      </x:c>
      <x:c r="H10" s="14" t="n">
        <x:v>1</x:v>
      </x:c>
      <x:c r="I10" s="11" t="str">
        <x:v>NTD</x:v>
      </x:c>
      <x:c r="J10" s="11" t="n">
        <x:v>20</x:v>
      </x:c>
      <x:c r="K10" s="11" t="n">
        <x:v>0</x:v>
      </x:c>
      <x:c r="L10" s="12" t="n">
        <x:f>IF(AND(ISNUMBER(H10),H10&gt;=0,ISNUMBER(Summary!$F$5),Summary!$F$5&gt;0,OR(I10="NTD",I10="USD")),IF(I10="USD",H10*Summary!$F$5,H10),"")</x:f>
        <x:v>1</x:v>
      </x:c>
      <x:c r="M10" s="12" t="n">
        <x:f>IF(AND(ISNUMBER(H10),H10&gt;=0,ISNUMBER(Summary!$F$5),Summary!$F$5&gt;0,OR(I10="NTD",I10="USD")),IF(I10="USD",H10,H10/Summary!$F$5),"")</x:f>
        <x:v>0.03144159723313945</x:v>
      </x:c>
      <x:c r="N10" s="12" t="n">
        <x:f>IF(AND(ISNUMBER(E10),E10&gt;=0,ISNUMBER(L10)),E10*L10,"")</x:f>
        <x:v>6</x:v>
      </x:c>
      <x:c r="O10" s="12" t="n">
        <x:f>IF(AND(ISNUMBER(E10),E10&gt;=0,ISNUMBER(M10)),E10*M10,"")</x:f>
        <x:v>0.1886495833988367</x:v>
      </x:c>
      <x:c r="P10" s="10" t="n">
        <x:f>IF(AND(ISNUMBER(E10),E10&gt;=0,ISNUMBER(J10),J10&gt;0,ISNUMBER(K10),K10&gt;=0),ROUNDUP(MAX(0,E10-K10)/J10,0),"")</x:f>
        <x:v>1</x:v>
      </x:c>
      <x:c r="Q10" s="12" t="n">
        <x:f>IF(AND(ISNUMBER(P10),ISNUMBER(L10)),P10*J10*L10,"")</x:f>
        <x:v>20</x:v>
      </x:c>
      <x:c r="R10" s="12" t="n">
        <x:f>IF(AND(ISNUMBER(P10),ISNUMBER(M10)),P10*J10*M10,"")</x:f>
        <x:v>0.6288319446627889</x:v>
      </x:c>
      <x:c r="S10" s="10" t="str">
        <x:v>Allowance</x:v>
      </x:c>
      <x:c r="T10" s="10" t="str"/>
      <x:c r="U10" s="10" t="str">
        <x:v>OD7 mm is a procurement reference; PCB copper keep-out remains unverified. Metal must not touch exposed copper. Conductive versus insulating material requires vendor approval; insulating washers also need creep/thickness checks. A thicker substitute changes the screw stack.</x:v>
      </x:c>
      <x:c r="V10" s="10" t="str">
        <x:v>FASTENER
Listing shows small M3 fasteners around NTD 3 individually. Listed flat-head type is NOT the specified socket cap. Budget allowances 3/4/6 NTD for M3x8/16/35 cap screws, 2 for nuts and 1 for washers; local exact-type prices unverified.
https://www.ruten.com.tw/item/21306183365097/</x:v>
      </x:c>
      <x:c r="W10" s="10" t="str">
        <x:f>IF(AND(ISNUMBER(N10),ISNUMBER(Q10)),"OK","Missing")</x:f>
        <x:v>OK</x:v>
      </x:c>
    </x:row>
    <x:row r="11" ht="123" customHeight="1">
      <x:c r="A11" s="10" t="str">
        <x:v>E01</x:v>
      </x:c>
      <x:c r="B11" s="10" t="str">
        <x:v>Wire, insulating sleeve and retention supplies</x:v>
      </x:c>
      <x:c r="C11" s="10" t="str">
        <x:v>One set:5 V/GND wiring, joint insulation and wire retention; cut length to routing. Wire gauge, connector, insulation rating and retention method require supplier approval; no fan socket is verified.</x:v>
      </x:c>
      <x:c r="D11" s="10" t="str">
        <x:v>Supply fan and prevent strain, shorts and blade contact.
Along base perimeter, clear of fan rotor, PCB pillars and ESP32 antenna.</x:v>
      </x:c>
      <x:c r="E11" s="10" t="n">
        <x:v>1</x:v>
      </x:c>
      <x:c r="F11" s="10" t="str">
        <x:v>set</x:v>
      </x:c>
      <x:c r="G11" s="10" t="str">
        <x:v>Required</x:v>
      </x:c>
      <x:c r="H11" s="14" t="n">
        <x:v>80</x:v>
      </x:c>
      <x:c r="I11" s="11" t="str">
        <x:v>NTD</x:v>
      </x:c>
      <x:c r="J11" s="11" t="n">
        <x:v>1</x:v>
      </x:c>
      <x:c r="K11" s="11" t="n">
        <x:v>0</x:v>
      </x:c>
      <x:c r="L11" s="12" t="n">
        <x:f>IF(AND(ISNUMBER(H11),H11&gt;=0,ISNUMBER(Summary!$F$5),Summary!$F$5&gt;0,OR(I11="NTD",I11="USD")),IF(I11="USD",H11*Summary!$F$5,H11),"")</x:f>
        <x:v>80</x:v>
      </x:c>
      <x:c r="M11" s="12" t="n">
        <x:f>IF(AND(ISNUMBER(H11),H11&gt;=0,ISNUMBER(Summary!$F$5),Summary!$F$5&gt;0,OR(I11="NTD",I11="USD")),IF(I11="USD",H11,H11/Summary!$F$5),"")</x:f>
        <x:v>2.5153277786511556</x:v>
      </x:c>
      <x:c r="N11" s="12" t="n">
        <x:f>IF(AND(ISNUMBER(E11),E11&gt;=0,ISNUMBER(L11)),E11*L11,"")</x:f>
        <x:v>80</x:v>
      </x:c>
      <x:c r="O11" s="12" t="n">
        <x:f>IF(AND(ISNUMBER(E11),E11&gt;=0,ISNUMBER(M11)),E11*M11,"")</x:f>
        <x:v>2.5153277786511556</x:v>
      </x:c>
      <x:c r="P11" s="10" t="n">
        <x:f>IF(AND(ISNUMBER(E11),E11&gt;=0,ISNUMBER(J11),J11&gt;0,ISNUMBER(K11),K11&gt;=0),ROUNDUP(MAX(0,E11-K11)/J11,0),"")</x:f>
        <x:v>1</x:v>
      </x:c>
      <x:c r="Q11" s="12" t="n">
        <x:f>IF(AND(ISNUMBER(P11),ISNUMBER(L11)),P11*J11*L11,"")</x:f>
        <x:v>80</x:v>
      </x:c>
      <x:c r="R11" s="12" t="n">
        <x:f>IF(AND(ISNUMBER(P11),ISNUMBER(M11)),P11*J11*M11,"")</x:f>
        <x:v>2.5153277786511556</x:v>
      </x:c>
      <x:c r="S11" s="10" t="str">
        <x:v>Allowance</x:v>
      </x:c>
      <x:c r="T11" s="10" t="str"/>
      <x:c r="U11" s="10" t="str">
        <x:v>Use only vendor-approved5 V/GND. A TPS61023 boost architecture is drawn, but missing passives/current margin prevent a battery-mode5 V claim. Do not connect to GPIO/arbitrary3.3 V. No added boost module is specified.</x:v>
      </x:c>
      <x:c r="V11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11" s="10" t="str">
        <x:f>IF(AND(ISNUMBER(N11),ISNUMBER(Q11)),"OK","Missing")</x:f>
        <x:v>OK</x:v>
      </x:c>
    </x:row>
    <x:row r="12" ht="108" customHeight="1">
      <x:c r="A12" s="10" t="str">
        <x:v>S01</x:v>
      </x:c>
      <x:c r="B12" s="10" t="str">
        <x:v>0.8 mm opaque silicone sheet</x:v>
      </x:c>
      <x:c r="C12" s="10" t="str">
        <x:v>One sheet for3 pieces: lower20×18 with four4×2.8 openings at(±3.3, ±2.65); upper ring18.4×15.6 outside/14.8×12 inside; PD ring4×4 outside/3×3.4 inside. Stock0.8 compressed nominally to0.6 mm(25%); sheet area must include all cuts plus trimming allowance.</x:v>
      </x:c>
      <x:c r="D12" s="10" t="str">
        <x:v>Seal well mouths and cap; block light around PD.
LowerZ55.5–56.1; upperZ57.3–57.9; PD ringZ40.5–41.1 after nominal compression.</x:v>
      </x:c>
      <x:c r="E12" s="10" t="n">
        <x:v>1</x:v>
      </x:c>
      <x:c r="F12" s="10" t="str">
        <x:v>sheet</x:v>
      </x:c>
      <x:c r="G12" s="10" t="str">
        <x:v>Required</x:v>
      </x:c>
      <x:c r="H12" s="14" t="n">
        <x:v>150</x:v>
      </x:c>
      <x:c r="I12" s="11" t="str">
        <x:v>NTD</x:v>
      </x:c>
      <x:c r="J12" s="11" t="n">
        <x:v>1</x:v>
      </x:c>
      <x:c r="K12" s="11" t="n">
        <x:v>0</x:v>
      </x:c>
      <x:c r="L12" s="12" t="n">
        <x:f>IF(AND(ISNUMBER(H12),H12&gt;=0,ISNUMBER(Summary!$F$5),Summary!$F$5&gt;0,OR(I12="NTD",I12="USD")),IF(I12="USD",H12*Summary!$F$5,H12),"")</x:f>
        <x:v>150</x:v>
      </x:c>
      <x:c r="M12" s="12" t="n">
        <x:f>IF(AND(ISNUMBER(H12),H12&gt;=0,ISNUMBER(Summary!$F$5),Summary!$F$5&gt;0,OR(I12="NTD",I12="USD")),IF(I12="USD",H12,H12/Summary!$F$5),"")</x:f>
        <x:v>4.716239584970917</x:v>
      </x:c>
      <x:c r="N12" s="12" t="n">
        <x:f>IF(AND(ISNUMBER(E12),E12&gt;=0,ISNUMBER(L12)),E12*L12,"")</x:f>
        <x:v>150</x:v>
      </x:c>
      <x:c r="O12" s="12" t="n">
        <x:f>IF(AND(ISNUMBER(E12),E12&gt;=0,ISNUMBER(M12)),E12*M12,"")</x:f>
        <x:v>4.716239584970917</x:v>
      </x:c>
      <x:c r="P12" s="10" t="n">
        <x:f>IF(AND(ISNUMBER(E12),E12&gt;=0,ISNUMBER(J12),J12&gt;0,ISNUMBER(K12),K12&gt;=0),ROUNDUP(MAX(0,E12-K12)/J12,0),"")</x:f>
        <x:v>1</x:v>
      </x:c>
      <x:c r="Q12" s="12" t="n">
        <x:f>IF(AND(ISNUMBER(P12),ISNUMBER(L12)),P12*J12*L12,"")</x:f>
        <x:v>150</x:v>
      </x:c>
      <x:c r="R12" s="12" t="n">
        <x:f>IF(AND(ISNUMBER(P12),ISNUMBER(M12)),P12*J12*M12,"")</x:f>
        <x:v>4.716239584970917</x:v>
      </x:c>
      <x:c r="S12" s="10" t="str">
        <x:v>Allowance</x:v>
      </x:c>
      <x:c r="T12" s="10" t="str"/>
      <x:c r="U12" s="10" t="str">
        <x:v>Hardness, compression set, thickness tolerance, VOC sorption/permeation, cleaning and cell-environment compatibility remain unqualified. PD ring minimum wall 0.3 mm and tiny aperture alignment margin require the100% SVG and real PD window. Black appearance does not prove opacity or gas sealing.</x:v>
      </x:c>
      <x:c r="V12" s="10" t="str">
        <x:v>SEAL
0.8 mm selectable stock; exact price unavailable. NTD 150 per small sheet is an engineering allowance, not a verified selling price. Hardness and VOC compatibility unqualified.
https://www.ruten.com.tw/item/22517308416481/</x:v>
      </x:c>
      <x:c r="W12" s="10" t="str">
        <x:f>IF(AND(ISNUMBER(N12),ISNUMBER(Q12)),"OK","Missing")</x:f>
        <x:v>OK</x:v>
      </x:c>
    </x:row>
    <x:row r="13" ht="108" customHeight="1">
      <x:c r="A13" s="10" t="str">
        <x:v>E02</x:v>
      </x:c>
      <x:c r="B13" s="10" t="str">
        <x:v>USB-C external supply</x:v>
      </x:c>
      <x:c r="C13" s="10" t="str">
        <x:v>Vendor-confirmed USB-C approximately 5 V input; price proxy is 5.1 V 3 A with cable. Battery excluded.</x:v>
      </x:c>
      <x:c r="D13" s="10" t="str">
        <x:v>Power PCB; battery operation first requires approved charging/protection settings.
USB-C to J2; battery to J1 Battery_Case according to physical holder/polarity.</x:v>
      </x:c>
      <x:c r="E13" s="10" t="n">
        <x:v>1</x:v>
      </x:c>
      <x:c r="F13" s="10" t="str">
        <x:v>set</x:v>
      </x:c>
      <x:c r="G13" s="10" t="str">
        <x:v>Required</x:v>
      </x:c>
      <x:c r="H13" s="14" t="n">
        <x:v>8.74</x:v>
      </x:c>
      <x:c r="I13" s="11" t="str">
        <x:v>USD</x:v>
      </x:c>
      <x:c r="J13" s="11" t="n">
        <x:v>1</x:v>
      </x:c>
      <x:c r="K13" s="11" t="n">
        <x:v>0</x:v>
      </x:c>
      <x:c r="L13" s="12" t="n">
        <x:f>IF(AND(ISNUMBER(H13),H13&gt;=0,ISNUMBER(Summary!$F$5),Summary!$F$5&gt;0,OR(I13="NTD",I13="USD")),IF(I13="USD",H13*Summary!$F$5,H13),"")</x:f>
        <x:v>277.9757</x:v>
      </x:c>
      <x:c r="M13" s="12" t="n">
        <x:f>IF(AND(ISNUMBER(H13),H13&gt;=0,ISNUMBER(Summary!$F$5),Summary!$F$5&gt;0,OR(I13="NTD",I13="USD")),IF(I13="USD",H13,H13/Summary!$F$5),"")</x:f>
        <x:v>8.74</x:v>
      </x:c>
      <x:c r="N13" s="12" t="n">
        <x:f>IF(AND(ISNUMBER(E13),E13&gt;=0,ISNUMBER(L13)),E13*L13,"")</x:f>
        <x:v>277.9757</x:v>
      </x:c>
      <x:c r="O13" s="12" t="n">
        <x:f>IF(AND(ISNUMBER(E13),E13&gt;=0,ISNUMBER(M13)),E13*M13,"")</x:f>
        <x:v>8.74</x:v>
      </x:c>
      <x:c r="P13" s="10" t="n">
        <x:f>IF(AND(ISNUMBER(E13),E13&gt;=0,ISNUMBER(J13),J13&gt;0,ISNUMBER(K13),K13&gt;=0),ROUNDUP(MAX(0,E13-K13)/J13,0),"")</x:f>
        <x:v>1</x:v>
      </x:c>
      <x:c r="Q13" s="12" t="n">
        <x:f>IF(AND(ISNUMBER(P13),ISNUMBER(L13)),P13*J13*L13,"")</x:f>
        <x:v>277.9757</x:v>
      </x:c>
      <x:c r="R13" s="12" t="n">
        <x:f>IF(AND(ISNUMBER(P13),ISNUMBER(M13)),P13*J13*M13,"")</x:f>
        <x:v>8.74</x:v>
      </x:c>
      <x:c r="S13" s="10" t="str">
        <x:v>Proxy</x:v>
      </x:c>
      <x:c r="T13" s="10" t="str"/>
      <x:c r="U13" s="10" t="str">
        <x:v>J1 connects BAT/GND, but holder dimensions/polarity and charge-setting R1–R3/TS R9 values are missing. Do not specify18650 chemistry/protection from photographs. TPS61023 output is labeled5 V but R6/R8 and other values are absent; vendor must confirm power and fan capability in both modes.</x:v>
      </x:c>
      <x:c r="V13" s="10" t="str">
        <x:v>POWER
USD 8.74, 5.1 V 3 A with cable. Price benchmark only; vendor must confirm input and charging configuration. Current budget uses external power, not an unconfirmed battery.
https://www.adafruit.com/product/4298</x:v>
      </x:c>
      <x:c r="W13" s="10" t="str">
        <x:f>IF(AND(ISNUMBER(N13),ISNUMBER(Q13)),"OK","Missing")</x:f>
        <x:v>OK</x:v>
      </x:c>
    </x:row>
    <x:row r="14" ht="123" customHeight="1">
      <x:c r="A14" s="10" t="str">
        <x:v>G01</x:v>
      </x:c>
      <x:c r="B14" s="10" t="str">
        <x:v>0.2 µm hydrophobic gas filter</x:v>
      </x:c>
      <x:c r="C14" s="10" t="str">
        <x:v>Two, one inlet and one outlet; gas-rated hydrophobic medium, 0.2 µm pore size. Membrane, area, housing, fittings and MPN undecided; a liquid syringe-filter label does not establish gas suitability.</x:v>
      </x:c>
      <x:c r="D14" s="10" t="str">
        <x:v>Reduce inlet/outlet particulate transport; not whole-device sterility certification.
Inlet filter between sample and inlet; outlet filter between outlet and downstream pump.</x:v>
      </x:c>
      <x:c r="E14" s="10" t="n">
        <x:v>2</x:v>
      </x:c>
      <x:c r="F14" s="10" t="str">
        <x:v>pc</x:v>
      </x:c>
      <x:c r="G14" s="10" t="str">
        <x:v>Required</x:v>
      </x:c>
      <x:c r="H14" s="14" t="n">
        <x:v>0.95</x:v>
      </x:c>
      <x:c r="I14" s="11" t="str">
        <x:v>USD</x:v>
      </x:c>
      <x:c r="J14" s="11" t="n">
        <x:v>100</x:v>
      </x:c>
      <x:c r="K14" s="11" t="n">
        <x:v>0</x:v>
      </x:c>
      <x:c r="L14" s="12" t="n">
        <x:f>IF(AND(ISNUMBER(H14),H14&gt;=0,ISNUMBER(Summary!$F$5),Summary!$F$5&gt;0,OR(I14="NTD",I14="USD")),IF(I14="USD",H14*Summary!$F$5,H14),"")</x:f>
        <x:v>30.21475</x:v>
      </x:c>
      <x:c r="M14" s="12" t="n">
        <x:f>IF(AND(ISNUMBER(H14),H14&gt;=0,ISNUMBER(Summary!$F$5),Summary!$F$5&gt;0,OR(I14="NTD",I14="USD")),IF(I14="USD",H14,H14/Summary!$F$5),"")</x:f>
        <x:v>0.95</x:v>
      </x:c>
      <x:c r="N14" s="12" t="n">
        <x:f>IF(AND(ISNUMBER(E14),E14&gt;=0,ISNUMBER(L14)),E14*L14,"")</x:f>
        <x:v>60.4295</x:v>
      </x:c>
      <x:c r="O14" s="12" t="n">
        <x:f>IF(AND(ISNUMBER(E14),E14&gt;=0,ISNUMBER(M14)),E14*M14,"")</x:f>
        <x:v>1.9</x:v>
      </x:c>
      <x:c r="P14" s="10" t="n">
        <x:f>IF(AND(ISNUMBER(E14),E14&gt;=0,ISNUMBER(J14),J14&gt;0,ISNUMBER(K14),K14&gt;=0),ROUNDUP(MAX(0,E14-K14)/J14,0),"")</x:f>
        <x:v>1</x:v>
      </x:c>
      <x:c r="Q14" s="12" t="n">
        <x:f>IF(AND(ISNUMBER(P14),ISNUMBER(L14)),P14*J14*L14,"")</x:f>
        <x:v>3021.475</x:v>
      </x:c>
      <x:c r="R14" s="12" t="n">
        <x:f>IF(AND(ISNUMBER(P14),ISNUMBER(M14)),P14*J14*M14,"")</x:f>
        <x:v>95</x:v>
      </x:c>
      <x:c r="S14" s="10" t="str">
        <x:v>Proxy</x:v>
      </x:c>
      <x:c r="T14" s="10" t="str"/>
      <x:c r="U14" s="10" t="str">
        <x:v>Obtain air pressure drop near3 mL/min, direction, pressure limits, wetting behavior, fittings and cleaning/sterilization information; measure target-VOC recovery/lag. Pore size does not prove zero VOC sorption or absolute containment. Price proxy ANP1322 is 0.22 um and nonsterile; it is not a qualified replacement for the specified 0.2 um gas filter.</x:v>
      </x:c>
      <x:c r="V14" s="10" t="str">
        <x:v>GASFILTER
USD 95 per 100. Hydrophobic PTFE, 13 mm, 0.22 um, NONSTERILE, air venting listed. Price proxy for 0.2 um gas-filter requirement, not certified sterile replacement. Two used per device; buying a box costs 100 filters.
https://www.gilson.com/default/catalog/product/view/id/1204/</x:v>
      </x:c>
      <x:c r="W14" s="10" t="str">
        <x:f>IF(AND(ISNUMBER(N14),ISNUMBER(Q14)),"OK","Missing")</x:f>
        <x:v>OK</x:v>
      </x:c>
    </x:row>
    <x:row r="15" ht="108" customHeight="1">
      <x:c r="A15" s="10" t="str">
        <x:v>G02</x:v>
      </x:c>
      <x:c r="B15" s="10" t="str">
        <x:v>PTFE gas tubing</x:v>
      </x:c>
      <x:c r="C15" s="10" t="str">
        <x:v>Candidate ID2.0/OD3.0 mm; procurement basis1 m. Cut shortest practical lengths and connect through G03.</x:v>
      </x:c>
      <x:c r="D15" s="10" t="str">
        <x:v>Connect sample, filters and device while limiting unnecessary dead volume.
External gas path near side slots; do not force directly onto printed tails.</x:v>
      </x:c>
      <x:c r="E15" s="10" t="n">
        <x:v>1</x:v>
      </x:c>
      <x:c r="F15" s="10" t="str">
        <x:v>m</x:v>
      </x:c>
      <x:c r="G15" s="10" t="str">
        <x:v>Required</x:v>
      </x:c>
      <x:c r="H15" s="14" t="n">
        <x:v>200</x:v>
      </x:c>
      <x:c r="I15" s="11" t="str">
        <x:v>NTD</x:v>
      </x:c>
      <x:c r="J15" s="11" t="n">
        <x:v>1</x:v>
      </x:c>
      <x:c r="K15" s="11" t="n">
        <x:v>0</x:v>
      </x:c>
      <x:c r="L15" s="12" t="n">
        <x:f>IF(AND(ISNUMBER(H15),H15&gt;=0,ISNUMBER(Summary!$F$5),Summary!$F$5&gt;0,OR(I15="NTD",I15="USD")),IF(I15="USD",H15*Summary!$F$5,H15),"")</x:f>
        <x:v>200</x:v>
      </x:c>
      <x:c r="M15" s="12" t="n">
        <x:f>IF(AND(ISNUMBER(H15),H15&gt;=0,ISNUMBER(Summary!$F$5),Summary!$F$5&gt;0,OR(I15="NTD",I15="USD")),IF(I15="USD",H15,H15/Summary!$F$5),"")</x:f>
        <x:v>6.288319446627889</x:v>
      </x:c>
      <x:c r="N15" s="12" t="n">
        <x:f>IF(AND(ISNUMBER(E15),E15&gt;=0,ISNUMBER(L15)),E15*L15,"")</x:f>
        <x:v>200</x:v>
      </x:c>
      <x:c r="O15" s="12" t="n">
        <x:f>IF(AND(ISNUMBER(E15),E15&gt;=0,ISNUMBER(M15)),E15*M15,"")</x:f>
        <x:v>6.288319446627889</x:v>
      </x:c>
      <x:c r="P15" s="10" t="n">
        <x:f>IF(AND(ISNUMBER(E15),E15&gt;=0,ISNUMBER(J15),J15&gt;0,ISNUMBER(K15),K15&gt;=0),ROUNDUP(MAX(0,E15-K15)/J15,0),"")</x:f>
        <x:v>1</x:v>
      </x:c>
      <x:c r="Q15" s="12" t="n">
        <x:f>IF(AND(ISNUMBER(P15),ISNUMBER(L15)),P15*J15*L15,"")</x:f>
        <x:v>200</x:v>
      </x:c>
      <x:c r="R15" s="12" t="n">
        <x:f>IF(AND(ISNUMBER(P15),ISNUMBER(M15)),P15*J15*M15,"")</x:f>
        <x:v>6.288319446627889</x:v>
      </x:c>
      <x:c r="S15" s="10" t="str">
        <x:v>Allowance</x:v>
      </x:c>
      <x:c r="T15" s="10" t="str"/>
      <x:c r="U15" s="10" t="str">
        <x:v>Verify wall/bend radius, tolerances and VOC recovery.1 m of ID2-mm tubing holds about3.14 mL; at3 mL/min nominal residence alone is about63 s. Chamber ~50-s t90 is not complete-system response time.</x:v>
      </x:c>
      <x:c r="V15" s="10" t="str">
        <x:v>PTFE
Search listing USD 4.99; sold length not verified. NTD 200 per 1 m is a separate allowance. Printer-feed tubing is not qualified analytical tubing.
https://tinkersphere.com/3d-printer-parts-supplies/2015-ptfe-teflon-tube-2mm-id-3mm-od-for-175-mm-filament.html</x:v>
      </x:c>
      <x:c r="W15" s="10" t="str">
        <x:f>IF(AND(ISNUMBER(N15),ISNUMBER(Q15)),"OK","Missing")</x:f>
        <x:v>OK</x:v>
      </x:c>
    </x:row>
    <x:row r="16" ht="108" customHeight="1">
      <x:c r="A16" s="10" t="str">
        <x:v>G03</x:v>
      </x:c>
      <x:c r="B16" s="10" t="str">
        <x:v>Soft-tube couplings and fitting adapters</x:v>
      </x:c>
      <x:c r="C16" s="10" t="str">
        <x:v>One set covering at least two printed-tail joints and required filter/PTFE adapters. Printed tail OD3.4, ridge4.0, bore2.4 mm; PTFE OD3.0. Final soft-tube ID/OD, material, length and fittings await filter selection and off-board fit tests; no claimed matched MPN.</x:v>
      </x:c>
      <x:c r="D16" s="10" t="str">
        <x:v>Make removable joints between rigid PTFE/filters and fragile printed tails.
Lid-X inlet/+X outlet, Y0/Z60.8, routed through hood side slots.</x:v>
      </x:c>
      <x:c r="E16" s="10" t="n">
        <x:v>1</x:v>
      </x:c>
      <x:c r="F16" s="10" t="str">
        <x:v>set</x:v>
      </x:c>
      <x:c r="G16" s="10" t="str">
        <x:v>Required</x:v>
      </x:c>
      <x:c r="H16" s="14" t="n">
        <x:v>150</x:v>
      </x:c>
      <x:c r="I16" s="11" t="str">
        <x:v>NTD</x:v>
      </x:c>
      <x:c r="J16" s="11" t="n">
        <x:v>1</x:v>
      </x:c>
      <x:c r="K16" s="11" t="n">
        <x:v>0</x:v>
      </x:c>
      <x:c r="L16" s="12" t="n">
        <x:f>IF(AND(ISNUMBER(H16),H16&gt;=0,ISNUMBER(Summary!$F$5),Summary!$F$5&gt;0,OR(I16="NTD",I16="USD")),IF(I16="USD",H16*Summary!$F$5,H16),"")</x:f>
        <x:v>150</x:v>
      </x:c>
      <x:c r="M16" s="12" t="n">
        <x:f>IF(AND(ISNUMBER(H16),H16&gt;=0,ISNUMBER(Summary!$F$5),Summary!$F$5&gt;0,OR(I16="NTD",I16="USD")),IF(I16="USD",H16,H16/Summary!$F$5),"")</x:f>
        <x:v>4.716239584970917</x:v>
      </x:c>
      <x:c r="N16" s="12" t="n">
        <x:f>IF(AND(ISNUMBER(E16),E16&gt;=0,ISNUMBER(L16)),E16*L16,"")</x:f>
        <x:v>150</x:v>
      </x:c>
      <x:c r="O16" s="12" t="n">
        <x:f>IF(AND(ISNUMBER(E16),E16&gt;=0,ISNUMBER(M16)),E16*M16,"")</x:f>
        <x:v>4.716239584970917</x:v>
      </x:c>
      <x:c r="P16" s="10" t="n">
        <x:f>IF(AND(ISNUMBER(E16),E16&gt;=0,ISNUMBER(J16),J16&gt;0,ISNUMBER(K16),K16&gt;=0),ROUNDUP(MAX(0,E16-K16)/J16,0),"")</x:f>
        <x:v>1</x:v>
      </x:c>
      <x:c r="Q16" s="12" t="n">
        <x:f>IF(AND(ISNUMBER(P16),ISNUMBER(L16)),P16*J16*L16,"")</x:f>
        <x:v>150</x:v>
      </x:c>
      <x:c r="R16" s="12" t="n">
        <x:f>IF(AND(ISNUMBER(P16),ISNUMBER(M16)),P16*J16*M16,"")</x:f>
        <x:v>4.716239584970917</x:v>
      </x:c>
      <x:c r="S16" s="10" t="str">
        <x:v>Allowance</x:v>
      </x:c>
      <x:c r="T16" s="10" t="str"/>
      <x:c r="U16" s="10" t="str">
        <x:v>Coupling must pass4-mm ridge without splitting nominal0.5-mm printed wall. Tip-to-rib insertion length is about4.8 mm, not the full10-mm tail. Side slot height 7 mm also limits OD/bend. Off-board test retention, leaks, VOC sorption and unrestricted outlet.</x:v>
      </x:c>
      <x:c r="V16" s="10" t="str">
        <x:v>COUPLER
Related tubing listed USD 2.50 per metre. Budget NTD 150 includes short flexible couplers and matching adapters. Exact ID/OD, Luer interfaces and VOC recovery must be checked; no fit guarantee.
https://www.adafruit.com/product/4699</x:v>
      </x:c>
      <x:c r="W16" s="10" t="str">
        <x:f>IF(AND(ISNUMBER(N16),ISNUMBER(Q16)),"OK","Missing")</x:f>
        <x:v>OK</x:v>
      </x:c>
    </x:row>
    <x:row r="17" ht="138" customHeight="1">
      <x:c r="A17" s="10" t="str">
        <x:v>O01</x:v>
      </x:c>
      <x:c r="B17" s="10" t="str">
        <x:v>Fluorescence emission filter</x:v>
      </x:c>
      <x:c r="C17" s="10" t="str">
        <x:v>One piece, mechanical maximum5.2×4.2×1.0 mm; pocket5.4×4.4, clear aperture4.8×3.8 mm. Cover optical path without edge bypass. Supplier brief:LED peak~468/model470 nm and target GCaMP/fluorescein green~520 nm; request spectral transmission/blocking and angle curves.</x:v>
      </x:c>
      <x:c r="D17" s="10" t="str">
        <x:v>Reject synchronous excitation leakage while passing green fluorescence.
Central filter seat in hood02, bottomZ41.1, above PD.</x:v>
      </x:c>
      <x:c r="E17" s="10" t="n">
        <x:v>1</x:v>
      </x:c>
      <x:c r="F17" s="10" t="str">
        <x:v>pc</x:v>
      </x:c>
      <x:c r="G17" s="10" t="str">
        <x:v>Required</x:v>
      </x:c>
      <x:c r="H17" s="14" t="n">
        <x:v>12000</x:v>
      </x:c>
      <x:c r="I17" s="11" t="str">
        <x:v>NTD</x:v>
      </x:c>
      <x:c r="J17" s="11" t="n">
        <x:v>1</x:v>
      </x:c>
      <x:c r="K17" s="11" t="n">
        <x:v>0</x:v>
      </x:c>
      <x:c r="L17" s="12" t="n">
        <x:f>IF(AND(ISNUMBER(H17),H17&gt;=0,ISNUMBER(Summary!$F$5),Summary!$F$5&gt;0,OR(I17="NTD",I17="USD")),IF(I17="USD",H17*Summary!$F$5,H17),"")</x:f>
        <x:v>12000</x:v>
      </x:c>
      <x:c r="M17" s="12" t="n">
        <x:f>IF(AND(ISNUMBER(H17),H17&gt;=0,ISNUMBER(Summary!$F$5),Summary!$F$5&gt;0,OR(I17="NTD",I17="USD")),IF(I17="USD",H17,H17/Summary!$F$5),"")</x:f>
        <x:v>377.2991667976733</x:v>
      </x:c>
      <x:c r="N17" s="12" t="n">
        <x:f>IF(AND(ISNUMBER(E17),E17&gt;=0,ISNUMBER(L17)),E17*L17,"")</x:f>
        <x:v>12000</x:v>
      </x:c>
      <x:c r="O17" s="12" t="n">
        <x:f>IF(AND(ISNUMBER(E17),E17&gt;=0,ISNUMBER(M17)),E17*M17,"")</x:f>
        <x:v>377.2991667976733</x:v>
      </x:c>
      <x:c r="P17" s="10" t="n">
        <x:f>IF(AND(ISNUMBER(E17),E17&gt;=0,ISNUMBER(J17),J17&gt;0,ISNUMBER(K17),K17&gt;=0),ROUNDUP(MAX(0,E17-K17)/J17,0),"")</x:f>
        <x:v>1</x:v>
      </x:c>
      <x:c r="Q17" s="12" t="n">
        <x:f>IF(AND(ISNUMBER(P17),ISNUMBER(L17)),P17*J17*L17,"")</x:f>
        <x:v>12000</x:v>
      </x:c>
      <x:c r="R17" s="12" t="n">
        <x:f>IF(AND(ISNUMBER(P17),ISNUMBER(M17)),P17*J17*M17,"")</x:f>
        <x:v>377.2991667976733</x:v>
      </x:c>
      <x:c r="S17" s="10" t="str">
        <x:v>Custom allowance</x:v>
      </x:c>
      <x:c r="T17" s="10" t="str"/>
      <x:c r="U17" s="10" t="str">
        <x:v>No selected MPN. Model OD3/4/5 at470/520 nm and0.9 normal green transmission are design-study assumptions, not verified purchased performance. Collection includes large angles; obtain0–65° and higher-angle data/limits. Interference-filter spectral shift is not represented by the absorptive proxy. Verify edge coating, orientation, flatness, thickness and PD-seal fit.</x:v>
      </x:c>
      <x:c r="V17" s="10" t="str">
        <x:v>OPTIC
USD 284, 12.5 mm diameter, substrate 2.00 +/-0.25 mm, mounted. Does NOT fit 5.2x4.2x1.0 mm seat. NTD 12000 is a custom thin-filter budget allowance, not a quote or available drop-in part. Cutting this stock part does not solve its thickness mismatch.
https://www.edmundoptics.com/p/520nm-cwl-125mm-dia-36nm-bandwidth-od-6-fluorescence-filter/21556/</x:v>
      </x:c>
      <x:c r="W17" s="10" t="str">
        <x:f>IF(AND(ISNUMBER(N17),ISNUMBER(Q17)),"OK","Missing")</x:f>
        <x:v>OK</x:v>
      </x:c>
    </x:row>
    <x:row r="18" ht="93" customHeight="1">
      <x:c r="A18" s="10" t="str">
        <x:v>P01</x:v>
      </x:c>
      <x:c r="B18" s="10" t="str">
        <x:v>3.3 V logic USB–UART adapter</x:v>
      </x:c>
      <x:c r="C18" s="10" t="str">
        <x:v>One shared adapter; TX/RX/GND with3.3 V logic, not RS-232. Computer driver/upload-rate support required; MPN and J3-compatible cable terminals undecided.</x:v>
      </x:c>
      <x:c r="D18" s="10" t="str">
        <x:v>Program ESP32 and read serial diagnostics.
Connect to J3; adapterTX to boardRX, RX to TX, common ground; normal board power through J2.</x:v>
      </x:c>
      <x:c r="E18" s="10" t="n">
        <x:v>1</x:v>
      </x:c>
      <x:c r="F18" s="10" t="str">
        <x:v>pc</x:v>
      </x:c>
      <x:c r="G18" s="10" t="str">
        <x:v>Developer</x:v>
      </x:c>
      <x:c r="H18" s="14" t="n">
        <x:v>5.95</x:v>
      </x:c>
      <x:c r="I18" s="11" t="str">
        <x:v>USD</x:v>
      </x:c>
      <x:c r="J18" s="11" t="n">
        <x:v>1</x:v>
      </x:c>
      <x:c r="K18" s="11" t="n">
        <x:v>0</x:v>
      </x:c>
      <x:c r="L18" s="12" t="n">
        <x:f>IF(AND(ISNUMBER(H18),H18&gt;=0,ISNUMBER(Summary!$F$5),Summary!$F$5&gt;0,OR(I18="NTD",I18="USD")),IF(I18="USD",H18*Summary!$F$5,H18),"")</x:f>
        <x:v>189.23975000000002</x:v>
      </x:c>
      <x:c r="M18" s="12" t="n">
        <x:f>IF(AND(ISNUMBER(H18),H18&gt;=0,ISNUMBER(Summary!$F$5),Summary!$F$5&gt;0,OR(I18="NTD",I18="USD")),IF(I18="USD",H18,H18/Summary!$F$5),"")</x:f>
        <x:v>5.95</x:v>
      </x:c>
      <x:c r="N18" s="12" t="n">
        <x:f>IF(AND(ISNUMBER(E18),E18&gt;=0,ISNUMBER(L18)),E18*L18,"")</x:f>
        <x:v>189.23975000000002</x:v>
      </x:c>
      <x:c r="O18" s="12" t="n">
        <x:f>IF(AND(ISNUMBER(E18),E18&gt;=0,ISNUMBER(M18)),E18*M18,"")</x:f>
        <x:v>5.95</x:v>
      </x:c>
      <x:c r="P18" s="10" t="n">
        <x:f>IF(AND(ISNUMBER(E18),E18&gt;=0,ISNUMBER(J18),J18&gt;0,ISNUMBER(K18),K18&gt;=0),ROUNDUP(MAX(0,E18-K18)/J18,0),"")</x:f>
        <x:v>1</x:v>
      </x:c>
      <x:c r="Q18" s="12" t="n">
        <x:f>IF(AND(ISNUMBER(P18),ISNUMBER(L18)),P18*J18*L18,"")</x:f>
        <x:v>189.23975000000002</x:v>
      </x:c>
      <x:c r="R18" s="12" t="n">
        <x:f>IF(AND(ISNUMBER(P18),ISNUMBER(M18)),P18*J18*M18,"")</x:f>
        <x:v>5.95</x:v>
      </x:c>
      <x:c r="S18" s="10" t="str">
        <x:v>Listed</x:v>
      </x:c>
      <x:c r="T18" s="10" t="str"/>
      <x:c r="U18" s="10" t="str">
        <x:v>Confirm physical J3 pin1 and terminal pitch. Leave adapterVCC disconnected with normal board power. J2 has no USB–UART bridge; never apply5 V UART signalling to ESP32.</x:v>
      </x:c>
      <x:c r="V18" s="10" t="str">
        <x:v>UART
USD 5.95 each. Signals 3.3 V; power wire 5 V. Leave VCC disconnected at J3. Cable and jumper wires separate.
https://www.adafruit.com/product/5335</x:v>
      </x:c>
      <x:c r="W18" s="10" t="str">
        <x:f>IF(AND(ISNUMBER(N18),ISNUMBER(Q18)),"OK","Missing")</x:f>
        <x:v>OK</x:v>
      </x:c>
    </x:row>
    <x:row r="19" ht="123" customHeight="1">
      <x:c r="A19" s="10" t="str">
        <x:v>L01</x:v>
      </x:c>
      <x:c r="B19" s="10" t="str">
        <x:v>Suction,flow and pressure equipment</x:v>
      </x:c>
      <x:c r="C19" s="10" t="str">
        <x:v>One shared/borrowed set:one controllable downstream suction source, gas flowmeter resolving~3 mL/min, pressure monitoring and independent limiting. Range, resolution, calibration, MPN and pressure limit remain undecided; no second independently set push pump.</x:v>
      </x:c>
      <x:c r="D19" s="10" t="str">
        <x:v>Provide measured shared sample flow.
Suction downstream of outlet filter, with lab-approved exhaust.</x:v>
      </x:c>
      <x:c r="E19" s="10" t="n">
        <x:v>1</x:v>
      </x:c>
      <x:c r="F19" s="10" t="str">
        <x:v>set</x:v>
      </x:c>
      <x:c r="G19" s="10" t="str">
        <x:v>Developer</x:v>
      </x:c>
      <x:c r="H19" s="14" t="n">
        <x:v>5000</x:v>
      </x:c>
      <x:c r="I19" s="11" t="str">
        <x:v>NTD</x:v>
      </x:c>
      <x:c r="J19" s="11" t="n">
        <x:v>1</x:v>
      </x:c>
      <x:c r="K19" s="11" t="n">
        <x:v>0</x:v>
      </x:c>
      <x:c r="L19" s="12" t="n">
        <x:f>IF(AND(ISNUMBER(H19),H19&gt;=0,ISNUMBER(Summary!$F$5),Summary!$F$5&gt;0,OR(I19="NTD",I19="USD")),IF(I19="USD",H19*Summary!$F$5,H19),"")</x:f>
        <x:v>5000</x:v>
      </x:c>
      <x:c r="M19" s="12" t="n">
        <x:f>IF(AND(ISNUMBER(H19),H19&gt;=0,ISNUMBER(Summary!$F$5),Summary!$F$5&gt;0,OR(I19="NTD",I19="USD")),IF(I19="USD",H19,H19/Summary!$F$5),"")</x:f>
        <x:v>157.2079861656972</x:v>
      </x:c>
      <x:c r="N19" s="12" t="n">
        <x:f>IF(AND(ISNUMBER(E19),E19&gt;=0,ISNUMBER(L19)),E19*L19,"")</x:f>
        <x:v>5000</x:v>
      </x:c>
      <x:c r="O19" s="12" t="n">
        <x:f>IF(AND(ISNUMBER(E19),E19&gt;=0,ISNUMBER(M19)),E19*M19,"")</x:f>
        <x:v>157.2079861656972</x:v>
      </x:c>
      <x:c r="P19" s="10" t="n">
        <x:f>IF(AND(ISNUMBER(E19),E19&gt;=0,ISNUMBER(J19),J19&gt;0,ISNUMBER(K19),K19&gt;=0),ROUNDUP(MAX(0,E19-K19)/J19,0),"")</x:f>
        <x:v>1</x:v>
      </x:c>
      <x:c r="Q19" s="12" t="n">
        <x:f>IF(AND(ISNUMBER(P19),ISNUMBER(L19)),P19*J19*L19,"")</x:f>
        <x:v>5000</x:v>
      </x:c>
      <x:c r="R19" s="12" t="n">
        <x:f>IF(AND(ISNUMBER(P19),ISNUMBER(M19)),P19*J19*M19,"")</x:f>
        <x:v>157.2079861656972</x:v>
      </x:c>
      <x:c r="S19" s="10" t="str">
        <x:v>Allowance</x:v>
      </x:c>
      <x:c r="T19" s="10" t="str"/>
      <x:c r="U19" s="10" t="str">
        <x:v>3 mL/min is a conditional fixed-CAD candidate, not a cell-safety limit. Measure assembled system; steady inlet/outlet volume rates match at common temperature/pressure. Chamber CFD excludes filters/tubing. Do not expose wells directly to pump maximum suction; baffle is not pressure regulation.</x:v>
      </x:c>
      <x:c r="V19" s="10" t="str">
        <x:v>PUMP
USD 7.95 for pump alone. 2.5 L/min, intermittent duty; NOT a selected 3 mL/min continuous source. NTD 5000 system allowance requires a qualified controlled source, bypass/regulation, pressure protection, fittings and supply. Borrow a suitable lab system first.
https://www.adafruit.com/product/4699</x:v>
      </x:c>
      <x:c r="W19" s="10" t="str">
        <x:f>IF(AND(ISNUMBER(N19),ISNUMBER(Q19)),"OK","Missing")</x:f>
        <x:v>OK</x:v>
      </x:c>
    </x:row>
    <x:row r="20" ht="123" customHeight="1">
      <x:c r="A20" s="10" t="str">
        <x:v>L02</x:v>
      </x:c>
      <x:c r="B20" s="10" t="str">
        <x:v>Measurement and assembly hand tools</x:v>
      </x:c>
      <x:c r="C20" s="10" t="str">
        <x:v>Calipers, 2.5 mm hex key, tweezers and craft knife; one set, borrow first.</x:v>
      </x:c>
      <x:c r="D20" s="10" t="str">
        <x:v>Postprocess, measure and assemble.
Workbench; supplies/tools are not product-installed parts.</x:v>
      </x:c>
      <x:c r="E20" s="10" t="n">
        <x:v>1</x:v>
      </x:c>
      <x:c r="F20" s="10" t="str">
        <x:v>set</x:v>
      </x:c>
      <x:c r="G20" s="10" t="str">
        <x:v>Developer</x:v>
      </x:c>
      <x:c r="H20" s="14" t="n">
        <x:v>1500</x:v>
      </x:c>
      <x:c r="I20" s="11" t="str">
        <x:v>NTD</x:v>
      </x:c>
      <x:c r="J20" s="11" t="n">
        <x:v>1</x:v>
      </x:c>
      <x:c r="K20" s="11" t="n">
        <x:v>0</x:v>
      </x:c>
      <x:c r="L20" s="12" t="n">
        <x:f>IF(AND(ISNUMBER(H20),H20&gt;=0,ISNUMBER(Summary!$F$5),Summary!$F$5&gt;0,OR(I20="NTD",I20="USD")),IF(I20="USD",H20*Summary!$F$5,H20),"")</x:f>
        <x:v>1500</x:v>
      </x:c>
      <x:c r="M20" s="12" t="n">
        <x:f>IF(AND(ISNUMBER(H20),H20&gt;=0,ISNUMBER(Summary!$F$5),Summary!$F$5&gt;0,OR(I20="NTD",I20="USD")),IF(I20="USD",H20,H20/Summary!$F$5),"")</x:f>
        <x:v>47.16239584970916</x:v>
      </x:c>
      <x:c r="N20" s="12" t="n">
        <x:f>IF(AND(ISNUMBER(E20),E20&gt;=0,ISNUMBER(L20)),E20*L20,"")</x:f>
        <x:v>1500</x:v>
      </x:c>
      <x:c r="O20" s="12" t="n">
        <x:f>IF(AND(ISNUMBER(E20),E20&gt;=0,ISNUMBER(M20)),E20*M20,"")</x:f>
        <x:v>47.16239584970916</x:v>
      </x:c>
      <x:c r="P20" s="10" t="n">
        <x:f>IF(AND(ISNUMBER(E20),E20&gt;=0,ISNUMBER(J20),J20&gt;0,ISNUMBER(K20),K20&gt;=0),ROUNDUP(MAX(0,E20-K20)/J20,0),"")</x:f>
        <x:v>1</x:v>
      </x:c>
      <x:c r="Q20" s="12" t="n">
        <x:f>IF(AND(ISNUMBER(P20),ISNUMBER(L20)),P20*J20*L20,"")</x:f>
        <x:v>1500</x:v>
      </x:c>
      <x:c r="R20" s="12" t="n">
        <x:f>IF(AND(ISNUMBER(P20),ISNUMBER(M20)),P20*J20*M20,"")</x:f>
        <x:v>47.16239584970916</x:v>
      </x:c>
      <x:c r="S20" s="10" t="str">
        <x:v>Allowance</x:v>
      </x:c>
      <x:c r="T20" s="10" t="str"/>
      <x:c r="U20" s="10" t="str">
        <x:v>Use resin-validated settings, no universal exposure/torque claim. Must measure/clean0.8-mm gaskets, 0.5-mm well floors and small bores. Existing equipment is declared as owned/borrowed rather than free.</x:v>
      </x:c>
      <x:c r="V20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20" s="10" t="str">
        <x:f>IF(AND(ISNUMBER(N20),ISNUMBER(Q20)),"OK","Missing")</x:f>
        <x:v>OK</x:v>
      </x:c>
    </x:row>
    <x:row r="21" ht="108" customHeight="1">
      <x:c r="A21" s="10" t="str">
        <x:v>L03</x:v>
      </x:c>
      <x:c r="B21" s="10" t="str">
        <x:v>Sodium fluorescein</x:v>
      </x:c>
      <x:c r="C21" s="10" t="str">
        <x:v>46970, market price per 100 g bottle. Prefer a documented stock aliquot for small tests. No electrical meter included.</x:v>
      </x:c>
      <x:c r="D21" s="10" t="str">
        <x:v>Run cell-free optical, mixing, concentration and electrical checks before cell work.
Validation bench/existing laboratory.</x:v>
      </x:c>
      <x:c r="E21" s="10" t="n">
        <x:v>1</x:v>
      </x:c>
      <x:c r="F21" s="10" t="str">
        <x:v>set</x:v>
      </x:c>
      <x:c r="G21" s="10" t="str">
        <x:v>Developer</x:v>
      </x:c>
      <x:c r="H21" s="14" t="n">
        <x:v>52.6</x:v>
      </x:c>
      <x:c r="I21" s="11" t="str">
        <x:v>USD</x:v>
      </x:c>
      <x:c r="J21" s="11" t="n">
        <x:v>1</x:v>
      </x:c>
      <x:c r="K21" s="11" t="n">
        <x:v>0</x:v>
      </x:c>
      <x:c r="L21" s="12" t="n">
        <x:f>IF(AND(ISNUMBER(H21),H21&gt;=0,ISNUMBER(Summary!$F$5),Summary!$F$5&gt;0,OR(I21="NTD",I21="USD")),IF(I21="USD",H21*Summary!$F$5,H21),"")</x:f>
        <x:v>1672.943</x:v>
      </x:c>
      <x:c r="M21" s="12" t="n">
        <x:f>IF(AND(ISNUMBER(H21),H21&gt;=0,ISNUMBER(Summary!$F$5),Summary!$F$5&gt;0,OR(I21="NTD",I21="USD")),IF(I21="USD",H21,H21/Summary!$F$5),"")</x:f>
        <x:v>52.6</x:v>
      </x:c>
      <x:c r="N21" s="12" t="n">
        <x:f>IF(AND(ISNUMBER(E21),E21&gt;=0,ISNUMBER(L21)),E21*L21,"")</x:f>
        <x:v>1672.943</x:v>
      </x:c>
      <x:c r="O21" s="12" t="n">
        <x:f>IF(AND(ISNUMBER(E21),E21&gt;=0,ISNUMBER(M21)),E21*M21,"")</x:f>
        <x:v>52.6</x:v>
      </x:c>
      <x:c r="P21" s="10" t="n">
        <x:f>IF(AND(ISNUMBER(E21),E21&gt;=0,ISNUMBER(J21),J21&gt;0,ISNUMBER(K21),K21&gt;=0),ROUNDUP(MAX(0,E21-K21)/J21,0),"")</x:f>
        <x:v>1</x:v>
      </x:c>
      <x:c r="Q21" s="12" t="n">
        <x:f>IF(AND(ISNUMBER(P21),ISNUMBER(L21)),P21*J21*L21,"")</x:f>
        <x:v>1672.943</x:v>
      </x:c>
      <x:c r="R21" s="12" t="n">
        <x:f>IF(AND(ISNUMBER(P21),ISNUMBER(M21)),P21*J21*M21,"")</x:f>
        <x:v>52.6</x:v>
      </x:c>
      <x:c r="S21" s="10" t="str">
        <x:v>Listed</x:v>
      </x:c>
      <x:c r="T21" s="10" t="str"/>
      <x:c r="U21" s="10" t="str">
        <x:v>Record stock concentration, solvent/pH and lot per validation guide. Instrument bandwidth/calibration/probe points require confirmation. A fluorescence standard does not establish GCaMP sensitivity, gas t90 or odor recognition.</x:v>
      </x:c>
      <x:c r="V21" s="10" t="str">
        <x:v>DYE
USD 52.60 per 100 g. Budget includes whole bottle, not a fictitious single-well quantity. Prefer a documented laboratory aliquot. Not an assay-specific or GCaMP-certified standard.
https://www.sigmaaldrich.com/US/en/product/sigma/46970</x:v>
      </x:c>
      <x:c r="W21" s="10" t="str">
        <x:f>IF(AND(ISNUMBER(N21),ISNUMBER(Q21)),"OK","Missing")</x:f>
        <x:v>OK</x:v>
      </x:c>
    </x:row>
    <x:row r="22" ht="123" customHeight="1">
      <x:c r="A22" s="10" t="str">
        <x:v>P02</x:v>
      </x:c>
      <x:c r="B22" s="10" t="str">
        <x:v>USB data cable and UART leads</x:v>
      </x:c>
      <x:c r="C22" s="10" t="str">
        <x:v>One adapter-compatible data cable and three J3-compatible signal leads.</x:v>
      </x:c>
      <x:c r="D22" s="10" t="str">
        <x:v>Connect computer to P01 and J3.
External shared equipment</x:v>
      </x:c>
      <x:c r="E22" s="10" t="n">
        <x:v>1</x:v>
      </x:c>
      <x:c r="F22" s="10" t="str">
        <x:v>set</x:v>
      </x:c>
      <x:c r="G22" s="10" t="str">
        <x:v>Developer</x:v>
      </x:c>
      <x:c r="H22" s="14" t="n">
        <x:v>150</x:v>
      </x:c>
      <x:c r="I22" s="11" t="str">
        <x:v>NTD</x:v>
      </x:c>
      <x:c r="J22" s="11" t="n">
        <x:v>1</x:v>
      </x:c>
      <x:c r="K22" s="11" t="n">
        <x:v>0</x:v>
      </x:c>
      <x:c r="L22" s="12" t="n">
        <x:f>IF(AND(ISNUMBER(H22),H22&gt;=0,ISNUMBER(Summary!$F$5),Summary!$F$5&gt;0,OR(I22="NTD",I22="USD")),IF(I22="USD",H22*Summary!$F$5,H22),"")</x:f>
        <x:v>150</x:v>
      </x:c>
      <x:c r="M22" s="12" t="n">
        <x:f>IF(AND(ISNUMBER(H22),H22&gt;=0,ISNUMBER(Summary!$F$5),Summary!$F$5&gt;0,OR(I22="NTD",I22="USD")),IF(I22="USD",H22,H22/Summary!$F$5),"")</x:f>
        <x:v>4.716239584970917</x:v>
      </x:c>
      <x:c r="N22" s="12" t="n">
        <x:f>IF(AND(ISNUMBER(E22),E22&gt;=0,ISNUMBER(L22)),E22*L22,"")</x:f>
        <x:v>150</x:v>
      </x:c>
      <x:c r="O22" s="12" t="n">
        <x:f>IF(AND(ISNUMBER(E22),E22&gt;=0,ISNUMBER(M22)),E22*M22,"")</x:f>
        <x:v>4.716239584970917</x:v>
      </x:c>
      <x:c r="P22" s="10" t="n">
        <x:f>IF(AND(ISNUMBER(E22),E22&gt;=0,ISNUMBER(J22),J22&gt;0,ISNUMBER(K22),K22&gt;=0),ROUNDUP(MAX(0,E22-K22)/J22,0),"")</x:f>
        <x:v>1</x:v>
      </x:c>
      <x:c r="Q22" s="12" t="n">
        <x:f>IF(AND(ISNUMBER(P22),ISNUMBER(L22)),P22*J22*L22,"")</x:f>
        <x:v>150</x:v>
      </x:c>
      <x:c r="R22" s="12" t="n">
        <x:f>IF(AND(ISNUMBER(P22),ISNUMBER(M22)),P22*J22*M22,"")</x:f>
        <x:v>4.716239584970917</x:v>
      </x:c>
      <x:c r="S22" s="10" t="str">
        <x:v>Allowance</x:v>
      </x:c>
      <x:c r="T22" s="10" t="str"/>
      <x:c r="U22" s="10" t="str">
        <x:v>Budget is not a confirmed compatible-part quotation. Borrow first; confirm model before purchase.</x:v>
      </x:c>
      <x:c r="V22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22" s="10" t="str">
        <x:f>IF(AND(ISNUMBER(N22),ISNUMBER(Q22)),"OK","Missing")</x:f>
        <x:v>OK</x:v>
      </x:c>
    </x:row>
    <x:row r="23" ht="108" customHeight="1">
      <x:c r="A23" s="10" t="str">
        <x:v>L04</x:v>
      </x:c>
      <x:c r="B23" s="10" t="str">
        <x:v>Low-flow gas meter</x:v>
      </x:c>
      <x:c r="C23" s="10" t="str">
        <x:v>Calibrated measurement near 3 mL/min; a 10 mL/min lower range is unsuitable.</x:v>
      </x:c>
      <x:c r="D23" s="10" t="str">
        <x:v>Measure complete-path flow; excluded from L01.
External shared equipment</x:v>
      </x:c>
      <x:c r="E23" s="10" t="n">
        <x:v>1</x:v>
      </x:c>
      <x:c r="F23" s="10" t="str">
        <x:v>set</x:v>
      </x:c>
      <x:c r="G23" s="10" t="str">
        <x:v>Developer</x:v>
      </x:c>
      <x:c r="H23" s="14" t="n">
        <x:v>15000</x:v>
      </x:c>
      <x:c r="I23" s="11" t="str">
        <x:v>NTD</x:v>
      </x:c>
      <x:c r="J23" s="11" t="n">
        <x:v>1</x:v>
      </x:c>
      <x:c r="K23" s="11" t="n">
        <x:v>0</x:v>
      </x:c>
      <x:c r="L23" s="12" t="n">
        <x:f>IF(AND(ISNUMBER(H23),H23&gt;=0,ISNUMBER(Summary!$F$5),Summary!$F$5&gt;0,OR(I23="NTD",I23="USD")),IF(I23="USD",H23*Summary!$F$5,H23),"")</x:f>
        <x:v>15000</x:v>
      </x:c>
      <x:c r="M23" s="12" t="n">
        <x:f>IF(AND(ISNUMBER(H23),H23&gt;=0,ISNUMBER(Summary!$F$5),Summary!$F$5&gt;0,OR(I23="NTD",I23="USD")),IF(I23="USD",H23,H23/Summary!$F$5),"")</x:f>
        <x:v>471.6239584970917</x:v>
      </x:c>
      <x:c r="N23" s="12" t="n">
        <x:f>IF(AND(ISNUMBER(E23),E23&gt;=0,ISNUMBER(L23)),E23*L23,"")</x:f>
        <x:v>15000</x:v>
      </x:c>
      <x:c r="O23" s="12" t="n">
        <x:f>IF(AND(ISNUMBER(E23),E23&gt;=0,ISNUMBER(M23)),E23*M23,"")</x:f>
        <x:v>471.6239584970917</x:v>
      </x:c>
      <x:c r="P23" s="10" t="n">
        <x:f>IF(AND(ISNUMBER(E23),E23&gt;=0,ISNUMBER(J23),J23&gt;0,ISNUMBER(K23),K23&gt;=0),ROUNDUP(MAX(0,E23-K23)/J23,0),"")</x:f>
        <x:v>1</x:v>
      </x:c>
      <x:c r="Q23" s="12" t="n">
        <x:f>IF(AND(ISNUMBER(P23),ISNUMBER(L23)),P23*J23*L23,"")</x:f>
        <x:v>15000</x:v>
      </x:c>
      <x:c r="R23" s="12" t="n">
        <x:f>IF(AND(ISNUMBER(P23),ISNUMBER(M23)),P23*J23*M23,"")</x:f>
        <x:v>471.6239584970917</x:v>
      </x:c>
      <x:c r="S23" s="10" t="str">
        <x:v>Allowance</x:v>
      </x:c>
      <x:c r="T23" s="10" t="str"/>
      <x:c r="U23" s="10" t="str">
        <x:v>Budget is not a confirmed compatible-part quotation. Borrow first; confirm model before purchase.</x:v>
      </x:c>
      <x:c r="V23" s="10" t="str">
        <x:v>FLOW
FL-320 nominal air range 0.02-15 cc/min. Historical price deliberately not treated as current. NTD 15000 is a planning allowance pending current calibrated meter quote; 3 mL/min must fall within usable range.
https://br.omega.com/omegaFiles/green/pdf/FL120.pdf</x:v>
      </x:c>
      <x:c r="W23" s="10" t="str">
        <x:f>IF(AND(ISNUMBER(N23),ISNUMBER(Q23)),"OK","Missing")</x:f>
        <x:v>OK</x:v>
      </x:c>
    </x:row>
    <x:row r="24" ht="123" customHeight="1">
      <x:c r="A24" s="10" t="str">
        <x:v>L05</x:v>
      </x:c>
      <x:c r="B24" s="10" t="str">
        <x:v>Digital multimeter</x:v>
      </x:c>
      <x:c r="C24" s="10" t="str">
        <x:v>DC voltage, resistance and continuity; insulated probes for low-voltage PCB work.</x:v>
      </x:c>
      <x:c r="D24" s="10" t="str">
        <x:v>Check rails and connections.
External shared equipment</x:v>
      </x:c>
      <x:c r="E24" s="10" t="n">
        <x:v>1</x:v>
      </x:c>
      <x:c r="F24" s="10" t="str">
        <x:v>set</x:v>
      </x:c>
      <x:c r="G24" s="10" t="str">
        <x:v>Developer</x:v>
      </x:c>
      <x:c r="H24" s="14" t="n">
        <x:v>800</x:v>
      </x:c>
      <x:c r="I24" s="11" t="str">
        <x:v>NTD</x:v>
      </x:c>
      <x:c r="J24" s="11" t="n">
        <x:v>1</x:v>
      </x:c>
      <x:c r="K24" s="11" t="n">
        <x:v>0</x:v>
      </x:c>
      <x:c r="L24" s="12" t="n">
        <x:f>IF(AND(ISNUMBER(H24),H24&gt;=0,ISNUMBER(Summary!$F$5),Summary!$F$5&gt;0,OR(I24="NTD",I24="USD")),IF(I24="USD",H24*Summary!$F$5,H24),"")</x:f>
        <x:v>800</x:v>
      </x:c>
      <x:c r="M24" s="12" t="n">
        <x:f>IF(AND(ISNUMBER(H24),H24&gt;=0,ISNUMBER(Summary!$F$5),Summary!$F$5&gt;0,OR(I24="NTD",I24="USD")),IF(I24="USD",H24,H24/Summary!$F$5),"")</x:f>
        <x:v>25.153277786511556</x:v>
      </x:c>
      <x:c r="N24" s="12" t="n">
        <x:f>IF(AND(ISNUMBER(E24),E24&gt;=0,ISNUMBER(L24)),E24*L24,"")</x:f>
        <x:v>800</x:v>
      </x:c>
      <x:c r="O24" s="12" t="n">
        <x:f>IF(AND(ISNUMBER(E24),E24&gt;=0,ISNUMBER(M24)),E24*M24,"")</x:f>
        <x:v>25.153277786511556</x:v>
      </x:c>
      <x:c r="P24" s="10" t="n">
        <x:f>IF(AND(ISNUMBER(E24),E24&gt;=0,ISNUMBER(J24),J24&gt;0,ISNUMBER(K24),K24&gt;=0),ROUNDUP(MAX(0,E24-K24)/J24,0),"")</x:f>
        <x:v>1</x:v>
      </x:c>
      <x:c r="Q24" s="12" t="n">
        <x:f>IF(AND(ISNUMBER(P24),ISNUMBER(L24)),P24*J24*L24,"")</x:f>
        <x:v>800</x:v>
      </x:c>
      <x:c r="R24" s="12" t="n">
        <x:f>IF(AND(ISNUMBER(P24),ISNUMBER(M24)),P24*J24*M24,"")</x:f>
        <x:v>25.153277786511556</x:v>
      </x:c>
      <x:c r="S24" s="10" t="str">
        <x:v>Allowance</x:v>
      </x:c>
      <x:c r="T24" s="10" t="str"/>
      <x:c r="U24" s="10" t="str">
        <x:v>Budget is not a confirmed compatible-part quotation. Borrow first; confirm model before purchase.</x:v>
      </x:c>
      <x:c r="V24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24" s="10" t="str">
        <x:f>IF(AND(ISNUMBER(N24),ISNUMBER(Q24)),"OK","Missing")</x:f>
        <x:v>OK</x:v>
      </x:c>
    </x:row>
    <x:row r="25" ht="123" customHeight="1">
      <x:c r="A25" s="10" t="str">
        <x:v>L06</x:v>
      </x:c>
      <x:c r="B25" s="10" t="str">
        <x:v>Oscilloscope</x:v>
      </x:c>
      <x:c r="C25" s="10" t="str">
        <x:v>At least two channels with probes compatible with 3.3 V logic; borrow lab equipment.</x:v>
      </x:c>
      <x:c r="D25" s="10" t="str">
        <x:v>Check LED PWM, CONVST and timing.
External shared equipment</x:v>
      </x:c>
      <x:c r="E25" s="10" t="n">
        <x:v>1</x:v>
      </x:c>
      <x:c r="F25" s="10" t="str">
        <x:v>set</x:v>
      </x:c>
      <x:c r="G25" s="10" t="str">
        <x:v>Developer</x:v>
      </x:c>
      <x:c r="H25" s="14" t="n">
        <x:v>10000</x:v>
      </x:c>
      <x:c r="I25" s="11" t="str">
        <x:v>NTD</x:v>
      </x:c>
      <x:c r="J25" s="11" t="n">
        <x:v>1</x:v>
      </x:c>
      <x:c r="K25" s="11" t="n">
        <x:v>0</x:v>
      </x:c>
      <x:c r="L25" s="12" t="n">
        <x:f>IF(AND(ISNUMBER(H25),H25&gt;=0,ISNUMBER(Summary!$F$5),Summary!$F$5&gt;0,OR(I25="NTD",I25="USD")),IF(I25="USD",H25*Summary!$F$5,H25),"")</x:f>
        <x:v>10000</x:v>
      </x:c>
      <x:c r="M25" s="12" t="n">
        <x:f>IF(AND(ISNUMBER(H25),H25&gt;=0,ISNUMBER(Summary!$F$5),Summary!$F$5&gt;0,OR(I25="NTD",I25="USD")),IF(I25="USD",H25,H25/Summary!$F$5),"")</x:f>
        <x:v>314.4159723313944</x:v>
      </x:c>
      <x:c r="N25" s="12" t="n">
        <x:f>IF(AND(ISNUMBER(E25),E25&gt;=0,ISNUMBER(L25)),E25*L25,"")</x:f>
        <x:v>10000</x:v>
      </x:c>
      <x:c r="O25" s="12" t="n">
        <x:f>IF(AND(ISNUMBER(E25),E25&gt;=0,ISNUMBER(M25)),E25*M25,"")</x:f>
        <x:v>314.4159723313944</x:v>
      </x:c>
      <x:c r="P25" s="10" t="n">
        <x:f>IF(AND(ISNUMBER(E25),E25&gt;=0,ISNUMBER(J25),J25&gt;0,ISNUMBER(K25),K25&gt;=0),ROUNDUP(MAX(0,E25-K25)/J25,0),"")</x:f>
        <x:v>1</x:v>
      </x:c>
      <x:c r="Q25" s="12" t="n">
        <x:f>IF(AND(ISNUMBER(P25),ISNUMBER(L25)),P25*J25*L25,"")</x:f>
        <x:v>10000</x:v>
      </x:c>
      <x:c r="R25" s="12" t="n">
        <x:f>IF(AND(ISNUMBER(P25),ISNUMBER(M25)),P25*J25*M25,"")</x:f>
        <x:v>314.4159723313944</x:v>
      </x:c>
      <x:c r="S25" s="10" t="str">
        <x:v>Allowance</x:v>
      </x:c>
      <x:c r="T25" s="10" t="str"/>
      <x:c r="U25" s="10" t="str">
        <x:v>Budget is not a confirmed compatible-part quotation. Borrow first; confirm model before purchase.</x:v>
      </x:c>
      <x:c r="V25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25" s="10" t="str">
        <x:f>IF(AND(ISNUMBER(N25),ISNUMBER(Q25)),"OK","Missing")</x:f>
        <x:v>OK</x:v>
      </x:c>
    </x:row>
    <x:row r="26" ht="123" customHeight="1">
      <x:c r="A26" s="10" t="str">
        <x:v>L07</x:v>
      </x:c>
      <x:c r="B26" s="10" t="str">
        <x:v>Micropipette and tips</x:v>
      </x:c>
      <x:c r="C26" s="10" t="str">
        <x:v>Calibrated range covering 80 uL, with one box of compatible tips.</x:v>
      </x:c>
      <x:c r="D26" s="10" t="str">
        <x:v>Control well fill volume.
External shared equipment</x:v>
      </x:c>
      <x:c r="E26" s="10" t="n">
        <x:v>1</x:v>
      </x:c>
      <x:c r="F26" s="10" t="str">
        <x:v>set</x:v>
      </x:c>
      <x:c r="G26" s="10" t="str">
        <x:v>Developer</x:v>
      </x:c>
      <x:c r="H26" s="14" t="n">
        <x:v>4000</x:v>
      </x:c>
      <x:c r="I26" s="11" t="str">
        <x:v>NTD</x:v>
      </x:c>
      <x:c r="J26" s="11" t="n">
        <x:v>1</x:v>
      </x:c>
      <x:c r="K26" s="11" t="n">
        <x:v>0</x:v>
      </x:c>
      <x:c r="L26" s="12" t="n">
        <x:f>IF(AND(ISNUMBER(H26),H26&gt;=0,ISNUMBER(Summary!$F$5),Summary!$F$5&gt;0,OR(I26="NTD",I26="USD")),IF(I26="USD",H26*Summary!$F$5,H26),"")</x:f>
        <x:v>4000</x:v>
      </x:c>
      <x:c r="M26" s="12" t="n">
        <x:f>IF(AND(ISNUMBER(H26),H26&gt;=0,ISNUMBER(Summary!$F$5),Summary!$F$5&gt;0,OR(I26="NTD",I26="USD")),IF(I26="USD",H26,H26/Summary!$F$5),"")</x:f>
        <x:v>125.76638893255777</x:v>
      </x:c>
      <x:c r="N26" s="12" t="n">
        <x:f>IF(AND(ISNUMBER(E26),E26&gt;=0,ISNUMBER(L26)),E26*L26,"")</x:f>
        <x:v>4000</x:v>
      </x:c>
      <x:c r="O26" s="12" t="n">
        <x:f>IF(AND(ISNUMBER(E26),E26&gt;=0,ISNUMBER(M26)),E26*M26,"")</x:f>
        <x:v>125.76638893255777</x:v>
      </x:c>
      <x:c r="P26" s="10" t="n">
        <x:f>IF(AND(ISNUMBER(E26),E26&gt;=0,ISNUMBER(J26),J26&gt;0,ISNUMBER(K26),K26&gt;=0),ROUNDUP(MAX(0,E26-K26)/J26,0),"")</x:f>
        <x:v>1</x:v>
      </x:c>
      <x:c r="Q26" s="12" t="n">
        <x:f>IF(AND(ISNUMBER(P26),ISNUMBER(L26)),P26*J26*L26,"")</x:f>
        <x:v>4000</x:v>
      </x:c>
      <x:c r="R26" s="12" t="n">
        <x:f>IF(AND(ISNUMBER(P26),ISNUMBER(M26)),P26*J26*M26,"")</x:f>
        <x:v>125.76638893255777</x:v>
      </x:c>
      <x:c r="S26" s="10" t="str">
        <x:v>Allowance</x:v>
      </x:c>
      <x:c r="T26" s="10" t="str"/>
      <x:c r="U26" s="10" t="str">
        <x:v>Budget is not a confirmed compatible-part quotation. Borrow first; confirm model before purchase.</x:v>
      </x:c>
      <x:c r="V26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26" s="10" t="str">
        <x:f>IF(AND(ISNUMBER(N26),ISNUMBER(Q26)),"OK","Missing")</x:f>
        <x:v>OK</x:v>
      </x:c>
    </x:row>
    <x:row r="27" ht="123" customHeight="1">
      <x:c r="A27" s="10" t="str">
        <x:v>L08</x:v>
      </x:c>
      <x:c r="B27" s="10" t="str">
        <x:v>Cleaning and post-cure consumables</x:v>
      </x:c>
      <x:c r="C27" s="10" t="str">
        <x:v>Small supplies of resin-approved cleaner, gloves and lint-free wipes; existing printer and cure equipment reused.</x:v>
      </x:c>
      <x:c r="D27" s="10" t="str">
        <x:v>Print finishing; cell-culture consumables excluded.
External shared equipment</x:v>
      </x:c>
      <x:c r="E27" s="10" t="n">
        <x:v>1</x:v>
      </x:c>
      <x:c r="F27" s="10" t="str">
        <x:v>set</x:v>
      </x:c>
      <x:c r="G27" s="10" t="str">
        <x:v>Developer</x:v>
      </x:c>
      <x:c r="H27" s="14" t="n">
        <x:v>300</x:v>
      </x:c>
      <x:c r="I27" s="11" t="str">
        <x:v>NTD</x:v>
      </x:c>
      <x:c r="J27" s="11" t="n">
        <x:v>1</x:v>
      </x:c>
      <x:c r="K27" s="11" t="n">
        <x:v>0</x:v>
      </x:c>
      <x:c r="L27" s="12" t="n">
        <x:f>IF(AND(ISNUMBER(H27),H27&gt;=0,ISNUMBER(Summary!$F$5),Summary!$F$5&gt;0,OR(I27="NTD",I27="USD")),IF(I27="USD",H27*Summary!$F$5,H27),"")</x:f>
        <x:v>300</x:v>
      </x:c>
      <x:c r="M27" s="12" t="n">
        <x:f>IF(AND(ISNUMBER(H27),H27&gt;=0,ISNUMBER(Summary!$F$5),Summary!$F$5&gt;0,OR(I27="NTD",I27="USD")),IF(I27="USD",H27,H27/Summary!$F$5),"")</x:f>
        <x:v>9.432479169941834</x:v>
      </x:c>
      <x:c r="N27" s="12" t="n">
        <x:f>IF(AND(ISNUMBER(E27),E27&gt;=0,ISNUMBER(L27)),E27*L27,"")</x:f>
        <x:v>300</x:v>
      </x:c>
      <x:c r="O27" s="12" t="n">
        <x:f>IF(AND(ISNUMBER(E27),E27&gt;=0,ISNUMBER(M27)),E27*M27,"")</x:f>
        <x:v>9.432479169941834</x:v>
      </x:c>
      <x:c r="P27" s="10" t="n">
        <x:f>IF(AND(ISNUMBER(E27),E27&gt;=0,ISNUMBER(J27),J27&gt;0,ISNUMBER(K27),K27&gt;=0),ROUNDUP(MAX(0,E27-K27)/J27,0),"")</x:f>
        <x:v>1</x:v>
      </x:c>
      <x:c r="Q27" s="12" t="n">
        <x:f>IF(AND(ISNUMBER(P27),ISNUMBER(L27)),P27*J27*L27,"")</x:f>
        <x:v>300</x:v>
      </x:c>
      <x:c r="R27" s="12" t="n">
        <x:f>IF(AND(ISNUMBER(P27),ISNUMBER(M27)),P27*J27*M27,"")</x:f>
        <x:v>9.432479169941834</x:v>
      </x:c>
      <x:c r="S27" s="10" t="str">
        <x:v>Allowance</x:v>
      </x:c>
      <x:c r="T27" s="10" t="str"/>
      <x:c r="U27" s="10" t="str">
        <x:v>Budget is not a confirmed compatible-part quotation. Borrow first; confirm model before purchase.</x:v>
      </x:c>
      <x:c r="V27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27" s="10" t="str">
        <x:f>IF(AND(ISNUMBER(N27),ISNUMBER(Q27)),"OK","Missing")</x:f>
        <x:v>OK</x:v>
      </x:c>
    </x:row>
    <x:row r="28" ht="108" customHeight="1">
      <x:c r="A28" s="10" t="str">
        <x:v>FUT01</x:v>
      </x:c>
      <x:c r="B28" s="10" t="str">
        <x:v>PDMS membrane research materials</x:v>
      </x:c>
      <x:c r="C28" s="10" t="str">
        <x:v>SYLGARD 184 0.5 kg kit and basic casting supplies; thickness and ratio require experiments.</x:v>
      </x:c>
      <x:c r="D28" s="10" t="str">
        <x:v>Future VOC transport and selectivity research; not current assembly.
Not integrated</x:v>
      </x:c>
      <x:c r="E28" s="10" t="n">
        <x:v>1</x:v>
      </x:c>
      <x:c r="F28" s="10" t="str">
        <x:v>set</x:v>
      </x:c>
      <x:c r="G28" s="10" t="str">
        <x:v>Future</x:v>
      </x:c>
      <x:c r="H28" s="14" t="n">
        <x:v>6000</x:v>
      </x:c>
      <x:c r="I28" s="11" t="str">
        <x:v>NTD</x:v>
      </x:c>
      <x:c r="J28" s="11" t="n">
        <x:v>1</x:v>
      </x:c>
      <x:c r="K28" s="11" t="n">
        <x:v>0</x:v>
      </x:c>
      <x:c r="L28" s="12" t="n">
        <x:f>IF(AND(ISNUMBER(H28),H28&gt;=0,ISNUMBER(Summary!$F$5),Summary!$F$5&gt;0,OR(I28="NTD",I28="USD")),IF(I28="USD",H28*Summary!$F$5,H28),"")</x:f>
        <x:v>6000</x:v>
      </x:c>
      <x:c r="M28" s="12" t="n">
        <x:f>IF(AND(ISNUMBER(H28),H28&gt;=0,ISNUMBER(Summary!$F$5),Summary!$F$5&gt;0,OR(I28="NTD",I28="USD")),IF(I28="USD",H28,H28/Summary!$F$5),"")</x:f>
        <x:v>188.64958339883665</x:v>
      </x:c>
      <x:c r="N28" s="12" t="n">
        <x:f>IF(AND(ISNUMBER(E28),E28&gt;=0,ISNUMBER(L28)),E28*L28,"")</x:f>
        <x:v>6000</x:v>
      </x:c>
      <x:c r="O28" s="12" t="n">
        <x:f>IF(AND(ISNUMBER(E28),E28&gt;=0,ISNUMBER(M28)),E28*M28,"")</x:f>
        <x:v>188.64958339883665</x:v>
      </x:c>
      <x:c r="P28" s="10" t="n">
        <x:f>IF(AND(ISNUMBER(E28),E28&gt;=0,ISNUMBER(J28),J28&gt;0,ISNUMBER(K28),K28&gt;=0),ROUNDUP(MAX(0,E28-K28)/J28,0),"")</x:f>
        <x:v>1</x:v>
      </x:c>
      <x:c r="Q28" s="12" t="n">
        <x:f>IF(AND(ISNUMBER(P28),ISNUMBER(L28)),P28*J28*L28,"")</x:f>
        <x:v>6000</x:v>
      </x:c>
      <x:c r="R28" s="12" t="n">
        <x:f>IF(AND(ISNUMBER(P28),ISNUMBER(M28)),P28*J28*M28,"")</x:f>
        <x:v>188.64958339883665</x:v>
      </x:c>
      <x:c r="S28" s="10" t="str">
        <x:v>Allowance</x:v>
      </x:c>
      <x:c r="T28" s="10" t="str"/>
      <x:c r="U28" s="10" t="str">
        <x:v>Budget is not a confirmed compatible-part quotation. Borrow first; confirm model before purchase.</x:v>
      </x:c>
      <x:c r="V28" s="10" t="str">
        <x:v>PDMS
Kit identity found; current public price not verified. NTD 6000 planning allowance for kit and basic casting consumables. No claim that PDMS removes water selectively.
https://labproinc.com/products/dow-sylgard-184-silicone-encapsulant-clear-0-5-kg-kit-184-sil-elast-kit-0-5kg</x:v>
      </x:c>
      <x:c r="W28" s="10" t="str">
        <x:f>IF(AND(ISNUMBER(N28),ISNUMBER(Q28)),"OK","Missing")</x:f>
        <x:v>OK</x:v>
      </x:c>
    </x:row>
    <x:row r="29" ht="108" customHeight="1">
      <x:c r="A29" s="10" t="str">
        <x:v>FUT02</x:v>
      </x:c>
      <x:c r="B29" s="10" t="str">
        <x:v>Gas valve and driver materials</x:v>
      </x:c>
      <x:c r="C29" s="10" t="str">
        <x:v>6 V FA0520E price reference; allowance includes driver, flyback diode, supply and adapters.</x:v>
      </x:c>
      <x:c r="D29" s="10" t="str">
        <x:v>Future gas switching; current UI and PCB do not support it.
Not integrated</x:v>
      </x:c>
      <x:c r="E29" s="10" t="n">
        <x:v>1</x:v>
      </x:c>
      <x:c r="F29" s="10" t="str">
        <x:v>set</x:v>
      </x:c>
      <x:c r="G29" s="10" t="str">
        <x:v>Future</x:v>
      </x:c>
      <x:c r="H29" s="14" t="n">
        <x:v>500</x:v>
      </x:c>
      <x:c r="I29" s="11" t="str">
        <x:v>NTD</x:v>
      </x:c>
      <x:c r="J29" s="11" t="n">
        <x:v>1</x:v>
      </x:c>
      <x:c r="K29" s="11" t="n">
        <x:v>0</x:v>
      </x:c>
      <x:c r="L29" s="12" t="n">
        <x:f>IF(AND(ISNUMBER(H29),H29&gt;=0,ISNUMBER(Summary!$F$5),Summary!$F$5&gt;0,OR(I29="NTD",I29="USD")),IF(I29="USD",H29*Summary!$F$5,H29),"")</x:f>
        <x:v>500</x:v>
      </x:c>
      <x:c r="M29" s="12" t="n">
        <x:f>IF(AND(ISNUMBER(H29),H29&gt;=0,ISNUMBER(Summary!$F$5),Summary!$F$5&gt;0,OR(I29="NTD",I29="USD")),IF(I29="USD",H29,H29/Summary!$F$5),"")</x:f>
        <x:v>15.720798616569722</x:v>
      </x:c>
      <x:c r="N29" s="12" t="n">
        <x:f>IF(AND(ISNUMBER(E29),E29&gt;=0,ISNUMBER(L29)),E29*L29,"")</x:f>
        <x:v>500</x:v>
      </x:c>
      <x:c r="O29" s="12" t="n">
        <x:f>IF(AND(ISNUMBER(E29),E29&gt;=0,ISNUMBER(M29)),E29*M29,"")</x:f>
        <x:v>15.720798616569722</x:v>
      </x:c>
      <x:c r="P29" s="10" t="n">
        <x:f>IF(AND(ISNUMBER(E29),E29&gt;=0,ISNUMBER(J29),J29&gt;0,ISNUMBER(K29),K29&gt;=0),ROUNDUP(MAX(0,E29-K29)/J29,0),"")</x:f>
        <x:v>1</x:v>
      </x:c>
      <x:c r="Q29" s="12" t="n">
        <x:f>IF(AND(ISNUMBER(P29),ISNUMBER(L29)),P29*J29*L29,"")</x:f>
        <x:v>500</x:v>
      </x:c>
      <x:c r="R29" s="12" t="n">
        <x:f>IF(AND(ISNUMBER(P29),ISNUMBER(M29)),P29*J29*M29,"")</x:f>
        <x:v>15.720798616569722</x:v>
      </x:c>
      <x:c r="S29" s="10" t="str">
        <x:v>Allowance</x:v>
      </x:c>
      <x:c r="T29" s="10" t="str"/>
      <x:c r="U29" s="10" t="str">
        <x:v>Budget is not a confirmed compatible-part quotation. Borrow first; confirm model before purchase.</x:v>
      </x:c>
      <x:c r="V29" s="10" t="str">
        <x:v>VALVE
USD 2.95 for 6 V valve alone. NTD 500 system allowance includes driver, flyback diode, supply and fittings. Future only; VOC wetted-material suitability and firmware support unverified.
https://www.adafruit.com/product/4663</x:v>
      </x:c>
      <x:c r="W29" s="10" t="str">
        <x:f>IF(AND(ISNUMBER(N29),ISNUMBER(Q29)),"OK","Missing")</x:f>
        <x:v>OK</x:v>
      </x:c>
    </x:row>
    <x:row r="30" ht="123" customHeight="1">
      <x:c r="A30" s="10" t="str">
        <x:v>FUT03</x:v>
      </x:c>
      <x:c r="B30" s="10" t="str">
        <x:v>Environment sensing development materials</x:v>
      </x:c>
      <x:c r="C30" s="10" t="str">
        <x:v>Temperature/humidity module and wiring allowance; excludes heater, CO2 control and incubator.</x:v>
      </x:c>
      <x:c r="D30" s="10" t="str">
        <x:v>Future environmental monitoring; not cell-environment control.
Not integrated</x:v>
      </x:c>
      <x:c r="E30" s="10" t="n">
        <x:v>1</x:v>
      </x:c>
      <x:c r="F30" s="10" t="str">
        <x:v>set</x:v>
      </x:c>
      <x:c r="G30" s="10" t="str">
        <x:v>Future</x:v>
      </x:c>
      <x:c r="H30" s="14" t="n">
        <x:v>1000</x:v>
      </x:c>
      <x:c r="I30" s="11" t="str">
        <x:v>NTD</x:v>
      </x:c>
      <x:c r="J30" s="11" t="n">
        <x:v>1</x:v>
      </x:c>
      <x:c r="K30" s="11" t="n">
        <x:v>0</x:v>
      </x:c>
      <x:c r="L30" s="12" t="n">
        <x:f>IF(AND(ISNUMBER(H30),H30&gt;=0,ISNUMBER(Summary!$F$5),Summary!$F$5&gt;0,OR(I30="NTD",I30="USD")),IF(I30="USD",H30*Summary!$F$5,H30),"")</x:f>
        <x:v>1000</x:v>
      </x:c>
      <x:c r="M30" s="12" t="n">
        <x:f>IF(AND(ISNUMBER(H30),H30&gt;=0,ISNUMBER(Summary!$F$5),Summary!$F$5&gt;0,OR(I30="NTD",I30="USD")),IF(I30="USD",H30,H30/Summary!$F$5),"")</x:f>
        <x:v>31.441597233139444</x:v>
      </x:c>
      <x:c r="N30" s="12" t="n">
        <x:f>IF(AND(ISNUMBER(E30),E30&gt;=0,ISNUMBER(L30)),E30*L30,"")</x:f>
        <x:v>1000</x:v>
      </x:c>
      <x:c r="O30" s="12" t="n">
        <x:f>IF(AND(ISNUMBER(E30),E30&gt;=0,ISNUMBER(M30)),E30*M30,"")</x:f>
        <x:v>31.441597233139444</x:v>
      </x:c>
      <x:c r="P30" s="10" t="n">
        <x:f>IF(AND(ISNUMBER(E30),E30&gt;=0,ISNUMBER(J30),J30&gt;0,ISNUMBER(K30),K30&gt;=0),ROUNDUP(MAX(0,E30-K30)/J30,0),"")</x:f>
        <x:v>1</x:v>
      </x:c>
      <x:c r="Q30" s="12" t="n">
        <x:f>IF(AND(ISNUMBER(P30),ISNUMBER(L30)),P30*J30*L30,"")</x:f>
        <x:v>1000</x:v>
      </x:c>
      <x:c r="R30" s="12" t="n">
        <x:f>IF(AND(ISNUMBER(P30),ISNUMBER(M30)),P30*J30*M30,"")</x:f>
        <x:v>31.441597233139444</x:v>
      </x:c>
      <x:c r="S30" s="10" t="str">
        <x:v>Allowance</x:v>
      </x:c>
      <x:c r="T30" s="10" t="str"/>
      <x:c r="U30" s="10" t="str">
        <x:v>Budget is not a confirmed compatible-part quotation. Borrow first; confirm model before purchase.</x:v>
      </x:c>
      <x:c r="V30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30" s="10" t="str">
        <x:f>IF(AND(ISNUMBER(N30),ISNUMBER(Q30)),"OK","Missing")</x:f>
        <x:v>OK</x:v>
      </x:c>
    </x:row>
    <x:row r="31" ht="2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2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2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2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2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2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2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2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2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2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2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2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2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2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2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 ht="2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 ht="2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 ht="2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 ht="2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 ht="2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 ht="2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 ht="2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 ht="2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 ht="2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</x:row>
    <x:row r="72" ht="2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</x:row>
    <x:row r="73" ht="2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</x:row>
    <x:row r="81" ht="2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</x:row>
    <x:row r="82" ht="2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</x:row>
    <x:row r="83" ht="2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</x:row>
    <x:row r="84" ht="2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</x:row>
    <x:row r="85" ht="2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</x:row>
    <x:row r="86" ht="2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</x:row>
    <x:row r="87" ht="2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</x:row>
    <x:row r="88" ht="2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</x:row>
    <x:row r="89" ht="2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</x:row>
    <x:row r="90" ht="2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</x:row>
    <x:row r="91" ht="2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</x:row>
    <x:row r="92" ht="2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</x:row>
    <x:row r="93" ht="2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</x:row>
    <x:row r="94" ht="2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</x:row>
    <x:row r="95" ht="2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</x:row>
    <x:row r="96" ht="2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</x:row>
    <x:row r="97" ht="2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</x:row>
    <x:row r="98" ht="2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</x:row>
    <x:row r="99" ht="2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</x:row>
    <x:row r="100" ht="2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</x:row>
    <x:row r="101" ht="2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</x:row>
    <x:row r="102" ht="28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</x:row>
    <x:row r="103" ht="2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</x:row>
    <x:row r="104" ht="2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</x:row>
    <x:row r="105" ht="28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</x:row>
    <x:row r="106" ht="2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</x:row>
    <x:row r="107" ht="2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</x:row>
    <x:row r="108" ht="2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</x:row>
    <x:row r="109" ht="2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</x:row>
    <x:row r="110" ht="2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</x:row>
    <x:row r="111" ht="2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</x:row>
    <x:row r="112" ht="2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</x:row>
    <x:row r="113" ht="2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</x:row>
    <x:row r="114" ht="2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</x:row>
    <x:row r="115" ht="2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</x:row>
    <x:row r="116" ht="2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</x:row>
    <x:row r="117" ht="2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</x:row>
    <x:row r="118" ht="2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</x:row>
    <x:row r="119" ht="2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</x:row>
    <x:row r="120" ht="2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" hidden="0" customWidth="1"/>
    <x:col min="2" max="2" width="23" hidden="0" customWidth="1"/>
    <x:col min="3" max="3" width="22" hidden="0" customWidth="1"/>
    <x:col min="4" max="4" width="8" hidden="0" customWidth="1"/>
    <x:col min="5" max="5" width="27" hidden="0" customWidth="1"/>
    <x:col min="6" max="6" width="44" hidden="0" customWidth="1"/>
    <x:col min="7" max="7" width="35" hidden="0" customWidth="1"/>
    <x:col min="8" max="8" width="36" hidden="0" customWidth="1"/>
    <x:col min="9" max="9" width="4" hidden="0" customWidth="1"/>
    <x:col min="10" max="10" width="15" hidden="0" customWidth="1"/>
    <x:col min="11" max="11" width="15" hidden="0" customWidth="1"/>
    <x:col min="12" max="12" width="16" hidden="0" customWidth="1"/>
    <x:col min="13" max="13" width="16" hidden="0" customWidth="1"/>
    <x:col min="14" max="14" width="20" hidden="0" customWidth="1"/>
    <x:col min="15" max="15" width="5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PCB vendor records and material estimates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8" customHeight="1">
      <x:c r="A3" s="4" t="str">
        <x:v>61 source rows retained. Do not add materials to the PCBA quote.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48" customHeight="1">
      <x:c r="A4" s="8" t="str">
        <x:v>Row</x:v>
      </x:c>
      <x:c r="B4" s="8" t="str">
        <x:v>Reference</x:v>
      </x:c>
      <x:c r="C4" s="8" t="str">
        <x:v>Name</x:v>
      </x:c>
      <x:c r="D4" s="8" t="str">
        <x:v>Qty</x:v>
      </x:c>
      <x:c r="E4" s="8" t="str">
        <x:v>Vendor value</x:v>
      </x:c>
      <x:c r="F4" s="8" t="str">
        <x:v>Specification</x:v>
      </x:c>
      <x:c r="G4" s="8" t="str">
        <x:v>Purpose and location</x:v>
      </x:c>
      <x:c r="H4" s="8" t="str">
        <x:v>Missing details</x:v>
      </x:c>
      <x:c r="I4" s="8" t="str"/>
      <x:c r="J4" s="8" t="str">
        <x:v>Unit NTD</x:v>
      </x:c>
      <x:c r="K4" s="8" t="str">
        <x:v>Unit USD</x:v>
      </x:c>
      <x:c r="L4" s="8" t="str">
        <x:v>Material NTD</x:v>
      </x:c>
      <x:c r="M4" s="8" t="str">
        <x:v>Material USD</x:v>
      </x:c>
      <x:c r="N4" s="8" t="str">
        <x:v>Price type</x:v>
      </x:c>
      <x:c r="O4" s="8" t="str">
        <x:v>Sources and price limits</x:v>
      </x:c>
    </x:row>
    <x:row r="5" ht="138" customHeight="1">
      <x:c r="A5" s="10" t="n">
        <x:v>1</x:v>
      </x:c>
      <x:c r="B5" s="10" t="str">
        <x:v>C1</x:v>
      </x:c>
      <x:c r="C5" s="10" t="str">
        <x:v>Capacitor (value not supplied)</x:v>
      </x:c>
      <x:c r="D5" s="10" t="n">
        <x:v>1</x:v>
      </x:c>
      <x:c r="E5" s="10" t="str"/>
      <x:c r="F5" s="10" t="str">
        <x:v>No capacitance is given in the vendor BOM or schematic.</x:v>
      </x:c>
      <x:c r="G5" s="10" t="str">
        <x:v>U2 system-output decoupling
Schematic page 1: charger / power path</x:v>
      </x:c>
      <x:c r="H5" s="10" t="str">
        <x:v>Confirm MPN,case/height,voltage,tolerance,dielectric and ESR</x:v>
      </x:c>
      <x:c r="I5" s="10" t="str"/>
      <x:c r="J5" s="14" t="n">
        <x:v>2</x:v>
      </x:c>
      <x:c r="K5" s="12" t="n">
        <x:f>IF(AND(ISNUMBER(J5),J5&gt;=0,ISNUMBER(Summary!$F$5),Summary!$F$5&gt;0),J5/Summary!$F$5,"")</x:f>
        <x:v>0.0628831944662789</x:v>
      </x:c>
      <x:c r="L5" s="12" t="n">
        <x:f>IF(AND(ISNUMBER(J5),J5&gt;=0,ISNUMBER(D5),D5&gt;=0),J5*D5,"")</x:f>
        <x:v>2</x:v>
      </x:c>
      <x:c r="M5" s="12" t="n">
        <x:f>IF(AND(ISNUMBER(K5),ISNUMBER(D5),D5&gt;=0),K5*D5,"")</x:f>
        <x:v>0.0628831944662789</x:v>
      </x:c>
      <x:c r="N5" s="10" t="str">
        <x:v>Allowance</x:v>
      </x:c>
      <x:c r="O5" s="10" t="str">
        <x:v>vendor_BOM row 1;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6" ht="138" customHeight="1">
      <x:c r="A6" s="10" t="n">
        <x:v>2</x:v>
      </x:c>
      <x:c r="B6" s="10" t="str">
        <x:v>C2</x:v>
      </x:c>
      <x:c r="C6" s="10" t="str">
        <x:v>Capacitor (value not supplied)</x:v>
      </x:c>
      <x:c r="D6" s="10" t="n">
        <x:v>1</x:v>
      </x:c>
      <x:c r="E6" s="10" t="str"/>
      <x:c r="F6" s="10" t="str">
        <x:v>No capacitance is given in the vendor BOM or schematic.</x:v>
      </x:c>
      <x:c r="G6" s="10" t="str">
        <x:v>Boost-input decoupling
Schematic page 1: boost supply</x:v>
      </x:c>
      <x:c r="H6" s="10" t="str">
        <x:v>Confirm MPN,case/height,voltage,tolerance,dielectric and ESR</x:v>
      </x:c>
      <x:c r="I6" s="10" t="str"/>
      <x:c r="J6" s="14" t="n">
        <x:v>2</x:v>
      </x:c>
      <x:c r="K6" s="12" t="n">
        <x:f>IF(AND(ISNUMBER(J6),J6&gt;=0,ISNUMBER(Summary!$F$5),Summary!$F$5&gt;0),J6/Summary!$F$5,"")</x:f>
        <x:v>0.0628831944662789</x:v>
      </x:c>
      <x:c r="L6" s="12" t="n">
        <x:f>IF(AND(ISNUMBER(J6),J6&gt;=0,ISNUMBER(D6),D6&gt;=0),J6*D6,"")</x:f>
        <x:v>2</x:v>
      </x:c>
      <x:c r="M6" s="12" t="n">
        <x:f>IF(AND(ISNUMBER(K6),ISNUMBER(D6),D6&gt;=0),K6*D6,"")</x:f>
        <x:v>0.0628831944662789</x:v>
      </x:c>
      <x:c r="N6" s="10" t="str">
        <x:v>Allowance</x:v>
      </x:c>
      <x:c r="O6" s="10" t="str">
        <x:v>vendor_BOM row 2;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7" ht="138" customHeight="1">
      <x:c r="A7" s="10" t="n">
        <x:v>3</x:v>
      </x:c>
      <x:c r="B7" s="10" t="str">
        <x:v>C3</x:v>
      </x:c>
      <x:c r="C7" s="10" t="str">
        <x:v>Capacitor (value not supplied)</x:v>
      </x:c>
      <x:c r="D7" s="10" t="n">
        <x:v>1</x:v>
      </x:c>
      <x:c r="E7" s="10" t="str"/>
      <x:c r="F7" s="10" t="str">
        <x:v>No capacitance is given in the vendor BOM or schematic.</x:v>
      </x:c>
      <x:c r="G7" s="10" t="str">
        <x:v>5V boost-output filtering
Schematic page 1: boost supply</x:v>
      </x:c>
      <x:c r="H7" s="10" t="str">
        <x:v>Confirm MPN,case/height,voltage,tolerance,dielectric and ESR</x:v>
      </x:c>
      <x:c r="I7" s="10" t="str"/>
      <x:c r="J7" s="14" t="n">
        <x:v>2</x:v>
      </x:c>
      <x:c r="K7" s="12" t="n">
        <x:f>IF(AND(ISNUMBER(J7),J7&gt;=0,ISNUMBER(Summary!$F$5),Summary!$F$5&gt;0),J7/Summary!$F$5,"")</x:f>
        <x:v>0.0628831944662789</x:v>
      </x:c>
      <x:c r="L7" s="12" t="n">
        <x:f>IF(AND(ISNUMBER(J7),J7&gt;=0,ISNUMBER(D7),D7&gt;=0),J7*D7,"")</x:f>
        <x:v>2</x:v>
      </x:c>
      <x:c r="M7" s="12" t="n">
        <x:f>IF(AND(ISNUMBER(K7),ISNUMBER(D7),D7&gt;=0),K7*D7,"")</x:f>
        <x:v>0.0628831944662789</x:v>
      </x:c>
      <x:c r="N7" s="10" t="str">
        <x:v>Allowance</x:v>
      </x:c>
      <x:c r="O7" s="10" t="str">
        <x:v>vendor_BOM row 3;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8" ht="138" customHeight="1">
      <x:c r="A8" s="10" t="n">
        <x:v>4</x:v>
      </x:c>
      <x:c r="B8" s="10" t="str">
        <x:v>C4</x:v>
      </x:c>
      <x:c r="C8" s="10" t="str">
        <x:v>Capacitor (value not supplied)</x:v>
      </x:c>
      <x:c r="D8" s="10" t="n">
        <x:v>1</x:v>
      </x:c>
      <x:c r="E8" s="10" t="str"/>
      <x:c r="F8" s="10" t="str">
        <x:v>No capacitance is given in the vendor BOM or schematic.</x:v>
      </x:c>
      <x:c r="G8" s="10" t="str">
        <x:v>5V boost-output filtering
Schematic page 1: boost supply</x:v>
      </x:c>
      <x:c r="H8" s="10" t="str">
        <x:v>Confirm MPN,case/height,voltage,tolerance,dielectric and ESR</x:v>
      </x:c>
      <x:c r="I8" s="10" t="str"/>
      <x:c r="J8" s="14" t="n">
        <x:v>2</x:v>
      </x:c>
      <x:c r="K8" s="12" t="n">
        <x:f>IF(AND(ISNUMBER(J8),J8&gt;=0,ISNUMBER(Summary!$F$5),Summary!$F$5&gt;0),J8/Summary!$F$5,"")</x:f>
        <x:v>0.0628831944662789</x:v>
      </x:c>
      <x:c r="L8" s="12" t="n">
        <x:f>IF(AND(ISNUMBER(J8),J8&gt;=0,ISNUMBER(D8),D8&gt;=0),J8*D8,"")</x:f>
        <x:v>2</x:v>
      </x:c>
      <x:c r="M8" s="12" t="n">
        <x:f>IF(AND(ISNUMBER(K8),ISNUMBER(D8),D8&gt;=0),K8*D8,"")</x:f>
        <x:v>0.0628831944662789</x:v>
      </x:c>
      <x:c r="N8" s="10" t="str">
        <x:v>Allowance</x:v>
      </x:c>
      <x:c r="O8" s="10" t="str">
        <x:v>vendor_BOM row 4;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9" ht="138" customHeight="1">
      <x:c r="A9" s="10" t="n">
        <x:v>5</x:v>
      </x:c>
      <x:c r="B9" s="10" t="str">
        <x:v>C5</x:v>
      </x:c>
      <x:c r="C9" s="10" t="str">
        <x:v>Capacitor (value not supplied)</x:v>
      </x:c>
      <x:c r="D9" s="10" t="n">
        <x:v>1</x:v>
      </x:c>
      <x:c r="E9" s="10" t="str"/>
      <x:c r="F9" s="10" t="str">
        <x:v>No capacitance is given in the vendor BOM or schematic.</x:v>
      </x:c>
      <x:c r="G9" s="10" t="str">
        <x:v>5V boost-output filtering
Schematic page 1: boost supply</x:v>
      </x:c>
      <x:c r="H9" s="10" t="str">
        <x:v>Confirm MPN,case/height,voltage,tolerance,dielectric and ESR</x:v>
      </x:c>
      <x:c r="I9" s="10" t="str"/>
      <x:c r="J9" s="14" t="n">
        <x:v>2</x:v>
      </x:c>
      <x:c r="K9" s="12" t="n">
        <x:f>IF(AND(ISNUMBER(J9),J9&gt;=0,ISNUMBER(Summary!$F$5),Summary!$F$5&gt;0),J9/Summary!$F$5,"")</x:f>
        <x:v>0.0628831944662789</x:v>
      </x:c>
      <x:c r="L9" s="12" t="n">
        <x:f>IF(AND(ISNUMBER(J9),J9&gt;=0,ISNUMBER(D9),D9&gt;=0),J9*D9,"")</x:f>
        <x:v>2</x:v>
      </x:c>
      <x:c r="M9" s="12" t="n">
        <x:f>IF(AND(ISNUMBER(K9),ISNUMBER(D9),D9&gt;=0),K9*D9,"")</x:f>
        <x:v>0.0628831944662789</x:v>
      </x:c>
      <x:c r="N9" s="10" t="str">
        <x:v>Allowance</x:v>
      </x:c>
      <x:c r="O9" s="10" t="str">
        <x:v>vendor_BOM row 5;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0" ht="138" customHeight="1">
      <x:c r="A10" s="10" t="n">
        <x:v>6</x:v>
      </x:c>
      <x:c r="B10" s="10" t="str">
        <x:v>C6</x:v>
      </x:c>
      <x:c r="C10" s="10" t="str">
        <x:v>Capacitor (value not supplied)</x:v>
      </x:c>
      <x:c r="D10" s="10" t="n">
        <x:v>1</x:v>
      </x:c>
      <x:c r="E10" s="10" t="str"/>
      <x:c r="F10" s="10" t="str">
        <x:v>No capacitance is given in the vendor BOM or schematic.</x:v>
      </x:c>
      <x:c r="G10" s="10" t="str">
        <x:v>USB/charger input decoupling
Schematic page 1: USB / charger input</x:v>
      </x:c>
      <x:c r="H10" s="10" t="str">
        <x:v>Confirm MPN,case/height,voltage,tolerance,dielectric and ESR</x:v>
      </x:c>
      <x:c r="I10" s="10" t="str"/>
      <x:c r="J10" s="14" t="n">
        <x:v>2</x:v>
      </x:c>
      <x:c r="K10" s="12" t="n">
        <x:f>IF(AND(ISNUMBER(J10),J10&gt;=0,ISNUMBER(Summary!$F$5),Summary!$F$5&gt;0),J10/Summary!$F$5,"")</x:f>
        <x:v>0.0628831944662789</x:v>
      </x:c>
      <x:c r="L10" s="12" t="n">
        <x:f>IF(AND(ISNUMBER(J10),J10&gt;=0,ISNUMBER(D10),D10&gt;=0),J10*D10,"")</x:f>
        <x:v>2</x:v>
      </x:c>
      <x:c r="M10" s="12" t="n">
        <x:f>IF(AND(ISNUMBER(K10),ISNUMBER(D10),D10&gt;=0),K10*D10,"")</x:f>
        <x:v>0.0628831944662789</x:v>
      </x:c>
      <x:c r="N10" s="10" t="str">
        <x:v>Allowance</x:v>
      </x:c>
      <x:c r="O10" s="10" t="str">
        <x:v>vendor_BOM row 6;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1" ht="138" customHeight="1">
      <x:c r="A11" s="10" t="n">
        <x:v>7</x:v>
      </x:c>
      <x:c r="B11" s="10" t="str">
        <x:v>C7</x:v>
      </x:c>
      <x:c r="C11" s="10" t="str">
        <x:v>Capacitor (value not supplied)</x:v>
      </x:c>
      <x:c r="D11" s="10" t="n">
        <x:v>1</x:v>
      </x:c>
      <x:c r="E11" s="10" t="str"/>
      <x:c r="F11" s="10" t="str">
        <x:v>No capacitance is given in the vendor BOM or schematic.</x:v>
      </x:c>
      <x:c r="G11" s="10" t="str">
        <x:v>Unidentified U3 supply decoupling
Schematic page 1: U3 power-control circuitry</x:v>
      </x:c>
      <x:c r="H11" s="10" t="str">
        <x:v>Confirm MPN,case/height,voltage,tolerance,dielectric and ESR</x:v>
      </x:c>
      <x:c r="I11" s="10" t="str"/>
      <x:c r="J11" s="14" t="n">
        <x:v>2</x:v>
      </x:c>
      <x:c r="K11" s="12" t="n">
        <x:f>IF(AND(ISNUMBER(J11),J11&gt;=0,ISNUMBER(Summary!$F$5),Summary!$F$5&gt;0),J11/Summary!$F$5,"")</x:f>
        <x:v>0.0628831944662789</x:v>
      </x:c>
      <x:c r="L11" s="12" t="n">
        <x:f>IF(AND(ISNUMBER(J11),J11&gt;=0,ISNUMBER(D11),D11&gt;=0),J11*D11,"")</x:f>
        <x:v>2</x:v>
      </x:c>
      <x:c r="M11" s="12" t="n">
        <x:f>IF(AND(ISNUMBER(K11),ISNUMBER(D11),D11&gt;=0),K11*D11,"")</x:f>
        <x:v>0.0628831944662789</x:v>
      </x:c>
      <x:c r="N11" s="10" t="str">
        <x:v>Allowance</x:v>
      </x:c>
      <x:c r="O11" s="10" t="str">
        <x:v>vendor_BOM row 7;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2" ht="138" customHeight="1">
      <x:c r="A12" s="10" t="n">
        <x:v>8</x:v>
      </x:c>
      <x:c r="B12" s="10" t="str">
        <x:v>C8</x:v>
      </x:c>
      <x:c r="C12" s="10" t="str">
        <x:v>Capacitor (value not supplied)</x:v>
      </x:c>
      <x:c r="D12" s="10" t="n">
        <x:v>1</x:v>
      </x:c>
      <x:c r="E12" s="10" t="str"/>
      <x:c r="F12" s="10" t="str">
        <x:v>No capacitance is given in the vendor BOM or schematic.</x:v>
      </x:c>
      <x:c r="G12" s="10" t="str">
        <x:v>Battery BAT-node decoupling
Schematic page 1: battery / charger</x:v>
      </x:c>
      <x:c r="H12" s="10" t="str">
        <x:v>Confirm MPN,case/height,voltage,tolerance,dielectric and ESR</x:v>
      </x:c>
      <x:c r="I12" s="10" t="str"/>
      <x:c r="J12" s="14" t="n">
        <x:v>2</x:v>
      </x:c>
      <x:c r="K12" s="12" t="n">
        <x:f>IF(AND(ISNUMBER(J12),J12&gt;=0,ISNUMBER(Summary!$F$5),Summary!$F$5&gt;0),J12/Summary!$F$5,"")</x:f>
        <x:v>0.0628831944662789</x:v>
      </x:c>
      <x:c r="L12" s="12" t="n">
        <x:f>IF(AND(ISNUMBER(J12),J12&gt;=0,ISNUMBER(D12),D12&gt;=0),J12*D12,"")</x:f>
        <x:v>2</x:v>
      </x:c>
      <x:c r="M12" s="12" t="n">
        <x:f>IF(AND(ISNUMBER(K12),ISNUMBER(D12),D12&gt;=0),K12*D12,"")</x:f>
        <x:v>0.0628831944662789</x:v>
      </x:c>
      <x:c r="N12" s="10" t="str">
        <x:v>Allowance</x:v>
      </x:c>
      <x:c r="O12" s="10" t="str">
        <x:v>vendor_BOM row 8;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3" ht="138" customHeight="1">
      <x:c r="A13" s="10" t="n">
        <x:v>9</x:v>
      </x:c>
      <x:c r="B13" s="10" t="str">
        <x:v>C9</x:v>
      </x:c>
      <x:c r="C13" s="10" t="str">
        <x:v>Capacitor (value not supplied)</x:v>
      </x:c>
      <x:c r="D13" s="10" t="n">
        <x:v>1</x:v>
      </x:c>
      <x:c r="E13" s="10" t="str"/>
      <x:c r="F13" s="10" t="str">
        <x:v>No capacitance is given in the vendor BOM or schematic.</x:v>
      </x:c>
      <x:c r="G13" s="10" t="str">
        <x:v>U3 P2 divider-node filtering
Schematic page 1: U3 power-control circuitry</x:v>
      </x:c>
      <x:c r="H13" s="10" t="str">
        <x:v>Confirm MPN,case/height,voltage,tolerance,dielectric and ESR</x:v>
      </x:c>
      <x:c r="I13" s="10" t="str"/>
      <x:c r="J13" s="14" t="n">
        <x:v>2</x:v>
      </x:c>
      <x:c r="K13" s="12" t="n">
        <x:f>IF(AND(ISNUMBER(J13),J13&gt;=0,ISNUMBER(Summary!$F$5),Summary!$F$5&gt;0),J13/Summary!$F$5,"")</x:f>
        <x:v>0.0628831944662789</x:v>
      </x:c>
      <x:c r="L13" s="12" t="n">
        <x:f>IF(AND(ISNUMBER(J13),J13&gt;=0,ISNUMBER(D13),D13&gt;=0),J13*D13,"")</x:f>
        <x:v>2</x:v>
      </x:c>
      <x:c r="M13" s="12" t="n">
        <x:f>IF(AND(ISNUMBER(K13),ISNUMBER(D13),D13&gt;=0),K13*D13,"")</x:f>
        <x:v>0.0628831944662789</x:v>
      </x:c>
      <x:c r="N13" s="10" t="str">
        <x:v>Allowance</x:v>
      </x:c>
      <x:c r="O13" s="10" t="str">
        <x:v>vendor_BOM row 9;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4" ht="138" customHeight="1">
      <x:c r="A14" s="10" t="n">
        <x:v>10</x:v>
      </x:c>
      <x:c r="B14" s="10" t="str">
        <x:v>C10</x:v>
      </x:c>
      <x:c r="C14" s="10" t="str">
        <x:v>Capacitor (value not supplied)</x:v>
      </x:c>
      <x:c r="D14" s="10" t="n">
        <x:v>1</x:v>
      </x:c>
      <x:c r="E14" s="10" t="str"/>
      <x:c r="F14" s="10" t="str">
        <x:v>No capacitance is given in the vendor BOM or schematic.</x:v>
      </x:c>
      <x:c r="G14" s="10" t="str">
        <x:v>U3 P6-to-ground; exact function unknown
Schematic page 1: U3 power-control circuitry</x:v>
      </x:c>
      <x:c r="H14" s="10" t="str">
        <x:v>Confirm MPN,case/height,voltage,tolerance,dielectric and ESR</x:v>
      </x:c>
      <x:c r="I14" s="10" t="str"/>
      <x:c r="J14" s="14" t="n">
        <x:v>2</x:v>
      </x:c>
      <x:c r="K14" s="12" t="n">
        <x:f>IF(AND(ISNUMBER(J14),J14&gt;=0,ISNUMBER(Summary!$F$5),Summary!$F$5&gt;0),J14/Summary!$F$5,"")</x:f>
        <x:v>0.0628831944662789</x:v>
      </x:c>
      <x:c r="L14" s="12" t="n">
        <x:f>IF(AND(ISNUMBER(J14),J14&gt;=0,ISNUMBER(D14),D14&gt;=0),J14*D14,"")</x:f>
        <x:v>2</x:v>
      </x:c>
      <x:c r="M14" s="12" t="n">
        <x:f>IF(AND(ISNUMBER(K14),ISNUMBER(D14),D14&gt;=0),K14*D14,"")</x:f>
        <x:v>0.0628831944662789</x:v>
      </x:c>
      <x:c r="N14" s="10" t="str">
        <x:v>Allowance</x:v>
      </x:c>
      <x:c r="O14" s="10" t="str">
        <x:v>vendor_BOM row 10;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5" ht="138" customHeight="1">
      <x:c r="A15" s="10" t="n">
        <x:v>11</x:v>
      </x:c>
      <x:c r="B15" s="10" t="str">
        <x:v>C11</x:v>
      </x:c>
      <x:c r="C15" s="10" t="str">
        <x:v>Capacitor (value not supplied)</x:v>
      </x:c>
      <x:c r="D15" s="10" t="n">
        <x:v>1</x:v>
      </x:c>
      <x:c r="E15" s="10" t="str"/>
      <x:c r="F15" s="10" t="str">
        <x:v>No capacitance is given in the vendor BOM or schematic.</x:v>
      </x:c>
      <x:c r="G15" s="10" t="str">
        <x:v>U3 P4-to-ground; exact function unknown
Schematic page 1: U3 power-control circuitry</x:v>
      </x:c>
      <x:c r="H15" s="10" t="str">
        <x:v>Confirm MPN,case/height,voltage,tolerance,dielectric and ESR</x:v>
      </x:c>
      <x:c r="I15" s="10" t="str"/>
      <x:c r="J15" s="14" t="n">
        <x:v>2</x:v>
      </x:c>
      <x:c r="K15" s="12" t="n">
        <x:f>IF(AND(ISNUMBER(J15),J15&gt;=0,ISNUMBER(Summary!$F$5),Summary!$F$5&gt;0),J15/Summary!$F$5,"")</x:f>
        <x:v>0.0628831944662789</x:v>
      </x:c>
      <x:c r="L15" s="12" t="n">
        <x:f>IF(AND(ISNUMBER(J15),J15&gt;=0,ISNUMBER(D15),D15&gt;=0),J15*D15,"")</x:f>
        <x:v>2</x:v>
      </x:c>
      <x:c r="M15" s="12" t="n">
        <x:f>IF(AND(ISNUMBER(K15),ISNUMBER(D15),D15&gt;=0),K15*D15,"")</x:f>
        <x:v>0.0628831944662789</x:v>
      </x:c>
      <x:c r="N15" s="10" t="str">
        <x:v>Allowance</x:v>
      </x:c>
      <x:c r="O15" s="10" t="str">
        <x:v>vendor_BOM row 11;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6" ht="138" customHeight="1">
      <x:c r="A16" s="10" t="n">
        <x:v>12</x:v>
      </x:c>
      <x:c r="B16" s="10" t="str">
        <x:v>C12</x:v>
      </x:c>
      <x:c r="C16" s="10" t="str">
        <x:v>47 µF capacitor</x:v>
      </x:c>
      <x:c r="D16" s="10" t="n">
        <x:v>1</x:v>
      </x:c>
      <x:c r="E16" s="10" t="str">
        <x:v>47uF</x:v>
      </x:c>
      <x:c r="F16" s="10" t="str">
        <x:v>Vendor nominal capacitance: 47uF.</x:v>
      </x:c>
      <x:c r="G16" s="10" t="str">
        <x:v>Local LED 5V bulk capacitance
Schematic page 2: LEDs</x:v>
      </x:c>
      <x:c r="H16" s="10" t="str">
        <x:v>Confirm MPN,case/height,voltage,tolerance,dielectric and ESR</x:v>
      </x:c>
      <x:c r="I16" s="10" t="str"/>
      <x:c r="J16" s="14" t="n">
        <x:v>15</x:v>
      </x:c>
      <x:c r="K16" s="12" t="n">
        <x:f>IF(AND(ISNUMBER(J16),J16&gt;=0,ISNUMBER(Summary!$F$5),Summary!$F$5&gt;0),J16/Summary!$F$5,"")</x:f>
        <x:v>0.47162395849709166</x:v>
      </x:c>
      <x:c r="L16" s="12" t="n">
        <x:f>IF(AND(ISNUMBER(J16),J16&gt;=0,ISNUMBER(D16),D16&gt;=0),J16*D16,"")</x:f>
        <x:v>15</x:v>
      </x:c>
      <x:c r="M16" s="12" t="n">
        <x:f>IF(AND(ISNUMBER(K16),ISNUMBER(D16),D16&gt;=0),K16*D16,"")</x:f>
        <x:v>0.47162395849709166</x:v>
      </x:c>
      <x:c r="N16" s="10" t="str">
        <x:v>Allowance</x:v>
      </x:c>
      <x:c r="O16" s="10" t="str">
        <x:v>vendor_BOM row 12;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7" ht="138" customHeight="1">
      <x:c r="A17" s="10" t="n">
        <x:v>13</x:v>
      </x:c>
      <x:c r="B17" s="10" t="str">
        <x:v>C13,C18</x:v>
      </x:c>
      <x:c r="C17" s="10" t="str">
        <x:v>22 µF capacitor</x:v>
      </x:c>
      <x:c r="D17" s="10" t="n">
        <x:v>2</x:v>
      </x:c>
      <x:c r="E17" s="10" t="str">
        <x:v>22uF</x:v>
      </x:c>
      <x:c r="F17" s="10" t="str">
        <x:v>Vendor nominal capacitance: 22uF.</x:v>
      </x:c>
      <x:c r="G17" s="10" t="str">
        <x:v>C13: ESP32 decoupling; C18: digital LDO output
Schematic page 2: ESP32；Schematic page 2: 3V3 LDO</x:v>
      </x:c>
      <x:c r="H17" s="10" t="str">
        <x:v>Confirm MPN,case/height,voltage,tolerance,dielectric and ESR</x:v>
      </x:c>
      <x:c r="I17" s="10" t="str"/>
      <x:c r="J17" s="14" t="n">
        <x:v>8</x:v>
      </x:c>
      <x:c r="K17" s="12" t="n">
        <x:f>IF(AND(ISNUMBER(J17),J17&gt;=0,ISNUMBER(Summary!$F$5),Summary!$F$5&gt;0),J17/Summary!$F$5,"")</x:f>
        <x:v>0.2515327778651156</x:v>
      </x:c>
      <x:c r="L17" s="12" t="n">
        <x:f>IF(AND(ISNUMBER(J17),J17&gt;=0,ISNUMBER(D17),D17&gt;=0),J17*D17,"")</x:f>
        <x:v>16</x:v>
      </x:c>
      <x:c r="M17" s="12" t="n">
        <x:f>IF(AND(ISNUMBER(K17),ISNUMBER(D17),D17&gt;=0),K17*D17,"")</x:f>
        <x:v>0.5030655557302312</x:v>
      </x:c>
      <x:c r="N17" s="10" t="str">
        <x:v>Allowance</x:v>
      </x:c>
      <x:c r="O17" s="10" t="str">
        <x:v>vendor_BOM row 13;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8" ht="138" customHeight="1">
      <x:c r="A18" s="10" t="n">
        <x:v>14</x:v>
      </x:c>
      <x:c r="B18" s="10" t="str">
        <x:v>C14,C15,C22,C25</x:v>
      </x:c>
      <x:c r="C18" s="10" t="str">
        <x:v>0.1 µF capacitor</x:v>
      </x:c>
      <x:c r="D18" s="10" t="n">
        <x:v>4</x:v>
      </x:c>
      <x:c r="E18" s="10" t="str">
        <x:v>0.1uF</x:v>
      </x:c>
      <x:c r="F18" s="10" t="str">
        <x:v>Vendor nominal capacitance: 0.1uF.</x:v>
      </x:c>
      <x:c r="G18" s="10" t="str">
        <x:v>ESP32/reset/reference/TIA decoupling; see per-reference map
Schematic page 2: ESP32；Schematic page 2: ESP32 reset；Schematic page 2: 2V5_REF；Schematic page 2: TIA supply</x:v>
      </x:c>
      <x:c r="H18" s="10" t="str">
        <x:v>Confirm MPN,case/height,voltage,tolerance,dielectric and ESR</x:v>
      </x:c>
      <x:c r="I18" s="10" t="str"/>
      <x:c r="J18" s="14" t="n">
        <x:v>2</x:v>
      </x:c>
      <x:c r="K18" s="12" t="n">
        <x:f>IF(AND(ISNUMBER(J18),J18&gt;=0,ISNUMBER(Summary!$F$5),Summary!$F$5&gt;0),J18/Summary!$F$5,"")</x:f>
        <x:v>0.0628831944662789</x:v>
      </x:c>
      <x:c r="L18" s="12" t="n">
        <x:f>IF(AND(ISNUMBER(J18),J18&gt;=0,ISNUMBER(D18),D18&gt;=0),J18*D18,"")</x:f>
        <x:v>8</x:v>
      </x:c>
      <x:c r="M18" s="12" t="n">
        <x:f>IF(AND(ISNUMBER(K18),ISNUMBER(D18),D18&gt;=0),K18*D18,"")</x:f>
        <x:v>0.2515327778651156</x:v>
      </x:c>
      <x:c r="N18" s="10" t="str">
        <x:v>Allowance</x:v>
      </x:c>
      <x:c r="O18" s="10" t="str">
        <x:v>vendor_BOM row 14;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9" ht="138" customHeight="1">
      <x:c r="A19" s="10" t="n">
        <x:v>15</x:v>
      </x:c>
      <x:c r="B19" s="10" t="str">
        <x:v>C16,C17,C23,C28</x:v>
      </x:c>
      <x:c r="C19" s="10" t="str">
        <x:v>10 µF capacitor</x:v>
      </x:c>
      <x:c r="D19" s="10" t="n">
        <x:v>4</x:v>
      </x:c>
      <x:c r="E19" s="10" t="str">
        <x:v>10uF</x:v>
      </x:c>
      <x:c r="F19" s="10" t="str">
        <x:v>Vendor nominal capacitance: 10uF.</x:v>
      </x:c>
      <x:c r="G19" s="10" t="str">
        <x:v>Reset/LDO/reference/ADC bypass; see per-reference map
Schematic page 2: ESP32 reset；Schematic page 2: 3V3 LDO；Schematic page 2: 2V5_REF；Schematic page 2: ADC reference</x:v>
      </x:c>
      <x:c r="H19" s="10" t="str">
        <x:v>Confirm MPN,case/height,voltage,tolerance,dielectric and ESR</x:v>
      </x:c>
      <x:c r="I19" s="10" t="str"/>
      <x:c r="J19" s="14" t="n">
        <x:v>8</x:v>
      </x:c>
      <x:c r="K19" s="12" t="n">
        <x:f>IF(AND(ISNUMBER(J19),J19&gt;=0,ISNUMBER(Summary!$F$5),Summary!$F$5&gt;0),J19/Summary!$F$5,"")</x:f>
        <x:v>0.2515327778651156</x:v>
      </x:c>
      <x:c r="L19" s="12" t="n">
        <x:f>IF(AND(ISNUMBER(J19),J19&gt;=0,ISNUMBER(D19),D19&gt;=0),J19*D19,"")</x:f>
        <x:v>32</x:v>
      </x:c>
      <x:c r="M19" s="12" t="n">
        <x:f>IF(AND(ISNUMBER(K19),ISNUMBER(D19),D19&gt;=0),K19*D19,"")</x:f>
        <x:v>1.0061311114604623</x:v>
      </x:c>
      <x:c r="N19" s="10" t="str">
        <x:v>Allowance</x:v>
      </x:c>
      <x:c r="O19" s="10" t="str">
        <x:v>vendor_BOM row 15;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0" ht="138" customHeight="1">
      <x:c r="A20" s="10" t="n">
        <x:v>16</x:v>
      </x:c>
      <x:c r="B20" s="10" t="str">
        <x:v>C19,C20,C27,C29</x:v>
      </x:c>
      <x:c r="C20" s="10" t="str">
        <x:v>1 µF capacitor</x:v>
      </x:c>
      <x:c r="D20" s="10" t="n">
        <x:v>4</x:v>
      </x:c>
      <x:c r="E20" s="10" t="str">
        <x:v>1uF</x:v>
      </x:c>
      <x:c r="F20" s="10" t="str">
        <x:v>Vendor nominal capacitance: 1uF.</x:v>
      </x:c>
      <x:c r="G20" s="10" t="str">
        <x:v>Analog-LDO input/output and ADC-supply decoupling
Schematic page 2: 3V3 LDO；Schematic page 2: ADC</x:v>
      </x:c>
      <x:c r="H20" s="10" t="str">
        <x:v>Confirm MPN,case/height,voltage,tolerance,dielectric and ESR</x:v>
      </x:c>
      <x:c r="I20" s="10" t="str"/>
      <x:c r="J20" s="14" t="n">
        <x:v>2</x:v>
      </x:c>
      <x:c r="K20" s="12" t="n">
        <x:f>IF(AND(ISNUMBER(J20),J20&gt;=0,ISNUMBER(Summary!$F$5),Summary!$F$5&gt;0),J20/Summary!$F$5,"")</x:f>
        <x:v>0.0628831944662789</x:v>
      </x:c>
      <x:c r="L20" s="12" t="n">
        <x:f>IF(AND(ISNUMBER(J20),J20&gt;=0,ISNUMBER(D20),D20&gt;=0),J20*D20,"")</x:f>
        <x:v>8</x:v>
      </x:c>
      <x:c r="M20" s="12" t="n">
        <x:f>IF(AND(ISNUMBER(K20),ISNUMBER(D20),D20&gt;=0),K20*D20,"")</x:f>
        <x:v>0.2515327778651156</x:v>
      </x:c>
      <x:c r="N20" s="10" t="str">
        <x:v>Allowance</x:v>
      </x:c>
      <x:c r="O20" s="10" t="str">
        <x:v>vendor_BOM row 16;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1" ht="138" customHeight="1">
      <x:c r="A21" s="10" t="n">
        <x:v>17</x:v>
      </x:c>
      <x:c r="B21" s="10" t="str">
        <x:v>C21</x:v>
      </x:c>
      <x:c r="C21" s="10" t="str">
        <x:v>2.2 pF capacitor</x:v>
      </x:c>
      <x:c r="D21" s="10" t="n">
        <x:v>1</x:v>
      </x:c>
      <x:c r="E21" s="10" t="str">
        <x:v>2.2pF</x:v>
      </x:c>
      <x:c r="F21" s="10" t="str">
        <x:v>Vendor nominal capacitance: 2.2pF.</x:v>
      </x:c>
      <x:c r="G21" s="10" t="str">
        <x:v>TIA feedback compensation/bandwidth
Schematic page 2: TIA</x:v>
      </x:c>
      <x:c r="H21" s="10" t="str">
        <x:v>Confirm MPN/package,dielectric/leakage and parasitic capacitance</x:v>
      </x:c>
      <x:c r="I21" s="10" t="str"/>
      <x:c r="J21" s="14" t="n">
        <x:v>2</x:v>
      </x:c>
      <x:c r="K21" s="12" t="n">
        <x:f>IF(AND(ISNUMBER(J21),J21&gt;=0,ISNUMBER(Summary!$F$5),Summary!$F$5&gt;0),J21/Summary!$F$5,"")</x:f>
        <x:v>0.0628831944662789</x:v>
      </x:c>
      <x:c r="L21" s="12" t="n">
        <x:f>IF(AND(ISNUMBER(J21),J21&gt;=0,ISNUMBER(D21),D21&gt;=0),J21*D21,"")</x:f>
        <x:v>2</x:v>
      </x:c>
      <x:c r="M21" s="12" t="n">
        <x:f>IF(AND(ISNUMBER(K21),ISNUMBER(D21),D21&gt;=0),K21*D21,"")</x:f>
        <x:v>0.0628831944662789</x:v>
      </x:c>
      <x:c r="N21" s="10" t="str">
        <x:v>Allowance</x:v>
      </x:c>
      <x:c r="O21" s="10" t="str">
        <x:v>vendor_BOM row 17;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2" ht="138" customHeight="1">
      <x:c r="A22" s="10" t="n">
        <x:v>18</x:v>
      </x:c>
      <x:c r="B22" s="10" t="str">
        <x:v>C24</x:v>
      </x:c>
      <x:c r="C22" s="10" t="str">
        <x:v>1000 pF capacitor</x:v>
      </x:c>
      <x:c r="D22" s="10" t="n">
        <x:v>1</x:v>
      </x:c>
      <x:c r="E22" s="10" t="str">
        <x:v>1000pF</x:v>
      </x:c>
      <x:c r="F22" s="10" t="str">
        <x:v>Vendor nominal capacitance: 1000pF.</x:v>
      </x:c>
      <x:c r="G22" s="10" t="str">
        <x:v>Filtering across ADC AINP/AINN
Schematic page 2: TIA / ADC</x:v>
      </x:c>
      <x:c r="H22" s="10" t="str">
        <x:v>Confirm MPN,case/height,voltage,tolerance,dielectric and ESR</x:v>
      </x:c>
      <x:c r="I22" s="10" t="str"/>
      <x:c r="J22" s="14" t="n">
        <x:v>2</x:v>
      </x:c>
      <x:c r="K22" s="12" t="n">
        <x:f>IF(AND(ISNUMBER(J22),J22&gt;=0,ISNUMBER(Summary!$F$5),Summary!$F$5&gt;0),J22/Summary!$F$5,"")</x:f>
        <x:v>0.0628831944662789</x:v>
      </x:c>
      <x:c r="L22" s="12" t="n">
        <x:f>IF(AND(ISNUMBER(J22),J22&gt;=0,ISNUMBER(D22),D22&gt;=0),J22*D22,"")</x:f>
        <x:v>2</x:v>
      </x:c>
      <x:c r="M22" s="12" t="n">
        <x:f>IF(AND(ISNUMBER(K22),ISNUMBER(D22),D22&gt;=0),K22*D22,"")</x:f>
        <x:v>0.0628831944662789</x:v>
      </x:c>
      <x:c r="N22" s="10" t="str">
        <x:v>Allowance</x:v>
      </x:c>
      <x:c r="O22" s="10" t="str">
        <x:v>vendor_BOM row 18;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3" ht="138" customHeight="1">
      <x:c r="A23" s="10" t="n">
        <x:v>19</x:v>
      </x:c>
      <x:c r="B23" s="10" t="str">
        <x:v>C26</x:v>
      </x:c>
      <x:c r="C23" s="10" t="str">
        <x:v>100 µF capacitor</x:v>
      </x:c>
      <x:c r="D23" s="10" t="n">
        <x:v>1</x:v>
      </x:c>
      <x:c r="E23" s="10" t="str">
        <x:v>100uF</x:v>
      </x:c>
      <x:c r="F23" s="10" t="str">
        <x:v>Vendor nominal capacitance: 100uF.</x:v>
      </x:c>
      <x:c r="G23" s="10" t="str">
        <x:v>TIA local-supply bulk capacitance/filtering
Schematic page 2: TIA supply</x:v>
      </x:c>
      <x:c r="H23" s="10" t="str">
        <x:v>Confirm MPN,case/height,voltage,tolerance,dielectric and ESR</x:v>
      </x:c>
      <x:c r="I23" s="10" t="str"/>
      <x:c r="J23" s="14" t="n">
        <x:v>15</x:v>
      </x:c>
      <x:c r="K23" s="12" t="n">
        <x:f>IF(AND(ISNUMBER(J23),J23&gt;=0,ISNUMBER(Summary!$F$5),Summary!$F$5&gt;0),J23/Summary!$F$5,"")</x:f>
        <x:v>0.47162395849709166</x:v>
      </x:c>
      <x:c r="L23" s="12" t="n">
        <x:f>IF(AND(ISNUMBER(J23),J23&gt;=0,ISNUMBER(D23),D23&gt;=0),J23*D23,"")</x:f>
        <x:v>15</x:v>
      </x:c>
      <x:c r="M23" s="12" t="n">
        <x:f>IF(AND(ISNUMBER(K23),ISNUMBER(D23),D23&gt;=0),K23*D23,"")</x:f>
        <x:v>0.47162395849709166</x:v>
      </x:c>
      <x:c r="N23" s="10" t="str">
        <x:v>Allowance</x:v>
      </x:c>
      <x:c r="O23" s="10" t="str">
        <x:v>vendor_BOM row 19;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4" ht="138" customHeight="1">
      <x:c r="A24" s="10" t="n">
        <x:v>20</x:v>
      </x:c>
      <x:c r="B24" s="10" t="str">
        <x:v>DPS1,DPS2</x:v>
      </x:c>
      <x:c r="C24" s="10" t="str">
        <x:v>Status indicator LED</x:v>
      </x:c>
      <x:c r="D24" s="10" t="n">
        <x:v>2</x:v>
      </x:c>
      <x:c r="E24" s="10" t="str">
        <x:v>LED</x:v>
      </x:c>
      <x:c r="F24" s="10" t="str">
        <x:v>Two LEDs; color/model unspecified</x:v>
      </x:c>
      <x:c r="G24" s="10" t="str">
        <x:v>DPS1: power-good; DPS2: charging status
Schematic page 1: charger</x:v>
      </x:c>
      <x:c r="H24" s="10" t="str">
        <x:v>Confirm MPN,color,package/height,current and brightness</x:v>
      </x:c>
      <x:c r="I24" s="10" t="str"/>
      <x:c r="J24" s="14" t="n">
        <x:v>2</x:v>
      </x:c>
      <x:c r="K24" s="12" t="n">
        <x:f>IF(AND(ISNUMBER(J24),J24&gt;=0,ISNUMBER(Summary!$F$5),Summary!$F$5&gt;0),J24/Summary!$F$5,"")</x:f>
        <x:v>0.0628831944662789</x:v>
      </x:c>
      <x:c r="L24" s="12" t="n">
        <x:f>IF(AND(ISNUMBER(J24),J24&gt;=0,ISNUMBER(D24),D24&gt;=0),J24*D24,"")</x:f>
        <x:v>4</x:v>
      </x:c>
      <x:c r="M24" s="12" t="n">
        <x:f>IF(AND(ISNUMBER(K24),ISNUMBER(D24),D24&gt;=0),K24*D24,"")</x:f>
        <x:v>0.1257663889325578</x:v>
      </x:c>
      <x:c r="N24" s="10" t="str">
        <x:v>Allowance</x:v>
      </x:c>
      <x:c r="O24" s="10" t="str">
        <x:v>vendor_BOM row 20;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5" ht="78" customHeight="1">
      <x:c r="A25" s="10" t="n">
        <x:v>21</x:v>
      </x:c>
      <x:c r="B25" s="10" t="str">
        <x:v>D1,D2,D3,D4</x:v>
      </x:c>
      <x:c r="C25" s="10" t="str">
        <x:v>Side-view blue LED</x:v>
      </x:c>
      <x:c r="D25" s="10" t="n">
        <x:v>4</x:v>
      </x:c>
      <x:c r="E25" s="10" t="str">
        <x:v>155124BS73200</x:v>
      </x:c>
      <x:c r="F25" s="10" t="str">
        <x:v>155124BS73200; 1204 side-view; at 20mA, typical peak468nm/dominant470nm</x:v>
      </x:c>
      <x:c r="G25" s="10" t="str">
        <x:v>Four-channel modulated blue excitation
Schematic page 2: LEDs; PCB optical region</x:v>
      </x:c>
      <x:c r="H25" s="10" t="str">
        <x:v>Verify orientation/height,optical axis,actual current and optical power</x:v>
      </x:c>
      <x:c r="I25" s="10" t="str"/>
      <x:c r="J25" s="14" t="n">
        <x:v>17</x:v>
      </x:c>
      <x:c r="K25" s="12" t="n">
        <x:f>IF(AND(ISNUMBER(J25),J25&gt;=0,ISNUMBER(Summary!$F$5),Summary!$F$5&gt;0),J25/Summary!$F$5,"")</x:f>
        <x:v>0.5345071529633706</x:v>
      </x:c>
      <x:c r="L25" s="12" t="n">
        <x:f>IF(AND(ISNUMBER(J25),J25&gt;=0,ISNUMBER(D25),D25&gt;=0),J25*D25,"")</x:f>
        <x:v>68</x:v>
      </x:c>
      <x:c r="M25" s="12" t="n">
        <x:f>IF(AND(ISNUMBER(K25),ISNUMBER(D25),D25&gt;=0),K25*D25,"")</x:f>
        <x:v>2.1380286118534824</x:v>
      </x:c>
      <x:c r="N25" s="10" t="str">
        <x:v>Listed</x:v>
      </x:c>
      <x:c r="O25" s="10" t="str">
        <x:v>vendor_BOM row 21; schematic; WURTH_LED
NTD 17 each at quantity 1.
https://www.digikey.tw/en/products/detail/w%C3%BCrth-elektronik/155124BS73200/4490035</x:v>
      </x:c>
    </x:row>
    <x:row r="26" ht="78" customHeight="1">
      <x:c r="A26" s="10" t="n">
        <x:v>22</x:v>
      </x:c>
      <x:c r="B26" s="10" t="str">
        <x:v>D5</x:v>
      </x:c>
      <x:c r="C26" s="10" t="str">
        <x:v>Silicon PIN photodiode</x:v>
      </x:c>
      <x:c r="D26" s="10" t="n">
        <x:v>1</x:v>
      </x:c>
      <x:c r="E26" s="10" t="str">
        <x:v>VEMD5060X01</x:v>
      </x:c>
      <x:c r="F26" s="10" t="str">
        <x:v>VEMD5060X01; top-view SMD5×4×0.9mm; active area7.5mm²</x:v>
      </x:c>
      <x:c r="G26" s="10" t="str">
        <x:v>Shared four-well fluorescence/background reception
Schematic page 2: PhotoDiod / TIA; PCB optical region</x:v>
      </x:c>
      <x:c r="H26" s="10" t="str">
        <x:v>Verify offset active area,assembled height and filter obscuration</x:v>
      </x:c>
      <x:c r="I26" s="10" t="str"/>
      <x:c r="J26" s="14" t="n">
        <x:v>68</x:v>
      </x:c>
      <x:c r="K26" s="12" t="n">
        <x:f>IF(AND(ISNUMBER(J26),J26&gt;=0,ISNUMBER(Summary!$F$5),Summary!$F$5&gt;0),J26/Summary!$F$5,"")</x:f>
        <x:v>2.1380286118534824</x:v>
      </x:c>
      <x:c r="L26" s="12" t="n">
        <x:f>IF(AND(ISNUMBER(J26),J26&gt;=0,ISNUMBER(D26),D26&gt;=0),J26*D26,"")</x:f>
        <x:v>68</x:v>
      </x:c>
      <x:c r="M26" s="12" t="n">
        <x:f>IF(AND(ISNUMBER(K26),ISNUMBER(D26),D26&gt;=0),K26*D26,"")</x:f>
        <x:v>2.1380286118534824</x:v>
      </x:c>
      <x:c r="N26" s="10" t="str">
        <x:v>Listed</x:v>
      </x:c>
      <x:c r="O26" s="10" t="str">
        <x:v>vendor_BOM row 22; schematic; VISHAY_PD
NTD 68 each at quantity 1.
https://www.digikey.tw/en/products/detail/vishay-semiconductor-opto-division/VEMD5060X01/5879084</x:v>
      </x:c>
    </x:row>
    <x:row r="27" ht="138" customHeight="1">
      <x:c r="A27" s="10" t="n">
        <x:v>23</x:v>
      </x:c>
      <x:c r="B27" s="10" t="str">
        <x:v>FD1,FD2,FD3,FD4,FD5,FD6,FD7,FD8</x:v>
      </x:c>
      <x:c r="C27" s="10" t="str">
        <x:v>SMT fiducials (PCB features)</x:v>
      </x:c>
      <x:c r="D27" s="10" t="n">
        <x:v>8</x:v>
      </x:c>
      <x:c r="E27" s="10" t="str">
        <x:v>FD_040(SMT用光學點)</x:v>
      </x:c>
      <x:c r="F27" s="10" t="str">
        <x:v>FD_040; eight PCB fiducials</x:v>
      </x:c>
      <x:c r="G27" s="10" t="str">
        <x:v>SMT vision alignment; no separate purchase
Schematic page 1: FD1–FD8; PCB fabrication features</x:v>
      </x:c>
      <x:c r="H27" s="10" t="str">
        <x:v>Geometry/mask opening from fabrication data;not separately purchased</x:v>
      </x:c>
      <x:c r="I27" s="10" t="str"/>
      <x:c r="J27" s="14" t="n">
        <x:v>0</x:v>
      </x:c>
      <x:c r="K27" s="12" t="n">
        <x:f>IF(AND(ISNUMBER(J27),J27&gt;=0,ISNUMBER(Summary!$F$5),Summary!$F$5&gt;0),J27/Summary!$F$5,"")</x:f>
        <x:v>0</x:v>
      </x:c>
      <x:c r="L27" s="12" t="n">
        <x:f>IF(AND(ISNUMBER(J27),J27&gt;=0,ISNUMBER(D27),D27&gt;=0),J27*D27,"")</x:f>
        <x:v>0</x:v>
      </x:c>
      <x:c r="M27" s="12" t="n">
        <x:f>IF(AND(ISNUMBER(K27),ISNUMBER(D27),D27&gt;=0),K27*D27,"")</x:f>
        <x:v>0</x:v>
      </x:c>
      <x:c r="N27" s="10" t="str">
        <x:v>Fabrication feature</x:v>
      </x:c>
      <x:c r="O27" s="10" t="str">
        <x:v>vendor_BOM row 23;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8" ht="138" customHeight="1">
      <x:c r="A28" s="10" t="n">
        <x:v>24</x:v>
      </x:c>
      <x:c r="B28" s="10" t="str">
        <x:v>H1,H2,H3,H4</x:v>
      </x:c>
      <x:c r="C28" s="10" t="str">
        <x:v>PCB mounting holes</x:v>
      </x:c>
      <x:c r="D28" s="10" t="n">
        <x:v>4</x:v>
      </x:c>
      <x:c r="E28" s="10" t="str">
        <x:v>CON(銅柱孔)</x:v>
      </x:c>
      <x:c r="F28" s="10" t="str">
        <x:v>H1–H4; vendor-designated standoff holes</x:v>
      </x:c>
      <x:c r="G28" s="10" t="str">
        <x:v>PCB mounting holes; no separate purchase
Schematic page 1: H1–H4; PCB mounting</x:v>
      </x:c>
      <x:c r="H28" s="10" t="str">
        <x:v>Confirm hole/plating/copper keepout;do not double-count screws</x:v>
      </x:c>
      <x:c r="I28" s="10" t="str"/>
      <x:c r="J28" s="14" t="n">
        <x:v>0</x:v>
      </x:c>
      <x:c r="K28" s="12" t="n">
        <x:f>IF(AND(ISNUMBER(J28),J28&gt;=0,ISNUMBER(Summary!$F$5),Summary!$F$5&gt;0),J28/Summary!$F$5,"")</x:f>
        <x:v>0</x:v>
      </x:c>
      <x:c r="L28" s="12" t="n">
        <x:f>IF(AND(ISNUMBER(J28),J28&gt;=0,ISNUMBER(D28),D28&gt;=0),J28*D28,"")</x:f>
        <x:v>0</x:v>
      </x:c>
      <x:c r="M28" s="12" t="n">
        <x:f>IF(AND(ISNUMBER(K28),ISNUMBER(D28),D28&gt;=0),K28*D28,"")</x:f>
        <x:v>0</x:v>
      </x:c>
      <x:c r="N28" s="10" t="str">
        <x:v>Fabrication feature</x:v>
      </x:c>
      <x:c r="O28" s="10" t="str">
        <x:v>vendor_BOM row 24;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9" ht="138" customHeight="1">
      <x:c r="A29" s="10" t="n">
        <x:v>25</x:v>
      </x:c>
      <x:c r="B29" s="10" t="str">
        <x:v>J1</x:v>
      </x:c>
      <x:c r="C29" s="10" t="str">
        <x:v>Battery holder / two-terminal battery connection</x:v>
      </x:c>
      <x:c r="D29" s="10" t="n">
        <x:v>1</x:v>
      </x:c>
      <x:c r="E29" s="10" t="str">
        <x:v>Battery_Case</x:v>
      </x:c>
      <x:c r="F29" s="10" t="str">
        <x:v>Battery_Case; pin1=BAT, pin2=GND; physical model unspecified</x:v>
      </x:c>
      <x:c r="G29" s="10" t="str">
        <x:v>Battery connection to charger BAT/GND
Schematic page 1: J1 / battery</x:v>
      </x:c>
      <x:c r="H29" s="10" t="str">
        <x:v>Confirm MPN,cell size/protection,polarity/height and charger settings</x:v>
      </x:c>
      <x:c r="I29" s="10" t="str"/>
      <x:c r="J29" s="14" t="n">
        <x:v>30</x:v>
      </x:c>
      <x:c r="K29" s="12" t="n">
        <x:f>IF(AND(ISNUMBER(J29),J29&gt;=0,ISNUMBER(Summary!$F$5),Summary!$F$5&gt;0),J29/Summary!$F$5,"")</x:f>
        <x:v>0.9432479169941833</x:v>
      </x:c>
      <x:c r="L29" s="12" t="n">
        <x:f>IF(AND(ISNUMBER(J29),J29&gt;=0,ISNUMBER(D29),D29&gt;=0),J29*D29,"")</x:f>
        <x:v>30</x:v>
      </x:c>
      <x:c r="M29" s="12" t="n">
        <x:f>IF(AND(ISNUMBER(K29),ISNUMBER(D29),D29&gt;=0),K29*D29,"")</x:f>
        <x:v>0.9432479169941833</x:v>
      </x:c>
      <x:c r="N29" s="10" t="str">
        <x:v>Allowance</x:v>
      </x:c>
      <x:c r="O29" s="10" t="str">
        <x:v>vendor_BOM row 25; schematic; TI_BQ24074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0" ht="138" customHeight="1">
      <x:c r="A30" s="10" t="n">
        <x:v>26</x:v>
      </x:c>
      <x:c r="B30" s="10" t="str">
        <x:v>J2</x:v>
      </x:c>
      <x:c r="C30" s="10" t="str">
        <x:v>USB Type-C receptacle</x:v>
      </x:c>
      <x:c r="D30" s="10" t="n">
        <x:v>1</x:v>
      </x:c>
      <x:c r="E30" s="10" t="str">
        <x:v>USB TYPE C FEMALE</x:v>
      </x:c>
      <x:c r="F30" s="10" t="str">
        <x:v>Type-C receptacle; VBUS=5V_USB; D+/D− unconnected</x:v>
      </x:c>
      <x:c r="G30" s="10" t="str">
        <x:v>USB power/charging; no USB data connection
Schematic page 1: J2 / USB</x:v>
      </x:c>
      <x:c r="H30" s="10" t="str">
        <x:v>Confirm MPN,opening/height/ratings and CC resistors</x:v>
      </x:c>
      <x:c r="I30" s="10" t="str"/>
      <x:c r="J30" s="14" t="n">
        <x:v>20</x:v>
      </x:c>
      <x:c r="K30" s="12" t="n">
        <x:f>IF(AND(ISNUMBER(J30),J30&gt;=0,ISNUMBER(Summary!$F$5),Summary!$F$5&gt;0),J30/Summary!$F$5,"")</x:f>
        <x:v>0.6288319446627889</x:v>
      </x:c>
      <x:c r="L30" s="12" t="n">
        <x:f>IF(AND(ISNUMBER(J30),J30&gt;=0,ISNUMBER(D30),D30&gt;=0),J30*D30,"")</x:f>
        <x:v>20</x:v>
      </x:c>
      <x:c r="M30" s="12" t="n">
        <x:f>IF(AND(ISNUMBER(K30),ISNUMBER(D30),D30&gt;=0),K30*D30,"")</x:f>
        <x:v>0.6288319446627889</x:v>
      </x:c>
      <x:c r="N30" s="10" t="str">
        <x:v>Allowance</x:v>
      </x:c>
      <x:c r="O30" s="10" t="str">
        <x:v>vendor_BOM row 26;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1" ht="138" customHeight="1">
      <x:c r="A31" s="10" t="n">
        <x:v>27</x:v>
      </x:c>
      <x:c r="B31" s="10" t="str">
        <x:v>J3</x:v>
      </x:c>
      <x:c r="C31" s="10" t="str">
        <x:v>Four-pin UART header</x:v>
      </x:c>
      <x:c r="D31" s="10" t="n">
        <x:v>1</x:v>
      </x:c>
      <x:c r="E31" s="10" t="str">
        <x:v>CON4(4pin排針)</x:v>
      </x:c>
      <x:c r="F31" s="10" t="str">
        <x:v>4pins:1=3V3_DIG, 2=TXD0, 3=RXD0, 4=GND</x:v>
      </x:c>
      <x:c r="G31" s="10" t="str">
        <x:v>ESP32 3.3V UART programming/debug
Schematic page 2: ESP32 / J3</x:v>
      </x:c>
      <x:c r="H31" s="10" t="str">
        <x:v>Confirm MPN,pitch/height/orientation and mating cable</x:v>
      </x:c>
      <x:c r="I31" s="10" t="str"/>
      <x:c r="J31" s="14" t="n">
        <x:v>5</x:v>
      </x:c>
      <x:c r="K31" s="12" t="n">
        <x:f>IF(AND(ISNUMBER(J31),J31&gt;=0,ISNUMBER(Summary!$F$5),Summary!$F$5&gt;0),J31/Summary!$F$5,"")</x:f>
        <x:v>0.15720798616569723</x:v>
      </x:c>
      <x:c r="L31" s="12" t="n">
        <x:f>IF(AND(ISNUMBER(J31),J31&gt;=0,ISNUMBER(D31),D31&gt;=0),J31*D31,"")</x:f>
        <x:v>5</x:v>
      </x:c>
      <x:c r="M31" s="12" t="n">
        <x:f>IF(AND(ISNUMBER(K31),ISNUMBER(D31),D31&gt;=0),K31*D31,"")</x:f>
        <x:v>0.15720798616569723</x:v>
      </x:c>
      <x:c r="N31" s="10" t="str">
        <x:v>Allowance</x:v>
      </x:c>
      <x:c r="O31" s="10" t="str">
        <x:v>vendor_BOM row 27;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2" ht="138" customHeight="1">
      <x:c r="A32" s="10" t="n">
        <x:v>28</x:v>
      </x:c>
      <x:c r="B32" s="10" t="str">
        <x:v>L1</x:v>
      </x:c>
      <x:c r="C32" s="10" t="str">
        <x:v>Boost power inductor</x:v>
      </x:c>
      <x:c r="D32" s="10" t="n">
        <x:v>1</x:v>
      </x:c>
      <x:c r="E32" s="10" t="str"/>
      <x:c r="F32" s="10" t="str">
        <x:v>L1; inductance and model unspecified</x:v>
      </x:c>
      <x:c r="G32" s="10" t="str">
        <x:v>TPS61023 boost energy storage
Schematic page 1: boost supply</x:v>
      </x:c>
      <x:c r="H32" s="10" t="str">
        <x:v>Confirm inductance,current,DCR,package/height and MPN</x:v>
      </x:c>
      <x:c r="I32" s="10" t="str"/>
      <x:c r="J32" s="14" t="n">
        <x:v>10</x:v>
      </x:c>
      <x:c r="K32" s="12" t="n">
        <x:f>IF(AND(ISNUMBER(J32),J32&gt;=0,ISNUMBER(Summary!$F$5),Summary!$F$5&gt;0),J32/Summary!$F$5,"")</x:f>
        <x:v>0.31441597233139446</x:v>
      </x:c>
      <x:c r="L32" s="12" t="n">
        <x:f>IF(AND(ISNUMBER(J32),J32&gt;=0,ISNUMBER(D32),D32&gt;=0),J32*D32,"")</x:f>
        <x:v>10</x:v>
      </x:c>
      <x:c r="M32" s="12" t="n">
        <x:f>IF(AND(ISNUMBER(K32),ISNUMBER(D32),D32&gt;=0),K32*D32,"")</x:f>
        <x:v>0.31441597233139446</x:v>
      </x:c>
      <x:c r="N32" s="10" t="str">
        <x:v>Allowance</x:v>
      </x:c>
      <x:c r="O32" s="10" t="str">
        <x:v>vendor_BOM row 28; schematic; TI_TPS61023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3" ht="138" customHeight="1">
      <x:c r="A33" s="10" t="n">
        <x:v>29</x:v>
      </x:c>
      <x:c r="B33" s="10" t="str">
        <x:v>Q1,Q2,Q3,Q4</x:v>
      </x:c>
      <x:c r="C33" s="10" t="str">
        <x:v>N-channel power MOSFET</x:v>
      </x:c>
      <x:c r="D33" s="10" t="n">
        <x:v>4</x:v>
      </x:c>
      <x:c r="E33" s="10" t="str">
        <x:v>AO3400A</x:v>
      </x:c>
      <x:c r="F33" s="10" t="str">
        <x:v>AO3400A; 30V N-MOSFET; SOT-23</x:v>
      </x:c>
      <x:c r="G33" s="10" t="str">
        <x:v>Four LED low-side PWM switches
Schematic page 2: LEDs</x:v>
      </x:c>
      <x:c r="H33" s="10" t="str">
        <x:v>Verify package pinout,actual current and temperature rise</x:v>
      </x:c>
      <x:c r="I33" s="10" t="str"/>
      <x:c r="J33" s="14" t="n">
        <x:v>5</x:v>
      </x:c>
      <x:c r="K33" s="12" t="n">
        <x:f>IF(AND(ISNUMBER(J33),J33&gt;=0,ISNUMBER(Summary!$F$5),Summary!$F$5&gt;0),J33/Summary!$F$5,"")</x:f>
        <x:v>0.15720798616569723</x:v>
      </x:c>
      <x:c r="L33" s="12" t="n">
        <x:f>IF(AND(ISNUMBER(J33),J33&gt;=0,ISNUMBER(D33),D33&gt;=0),J33*D33,"")</x:f>
        <x:v>20</x:v>
      </x:c>
      <x:c r="M33" s="12" t="n">
        <x:f>IF(AND(ISNUMBER(K33),ISNUMBER(D33),D33&gt;=0),K33*D33,"")</x:f>
        <x:v>0.6288319446627889</x:v>
      </x:c>
      <x:c r="N33" s="10" t="str">
        <x:v>Allowance</x:v>
      </x:c>
      <x:c r="O33" s="10" t="str">
        <x:v>vendor_BOM row 29; schematic; AOS_AO3400A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4" ht="138" customHeight="1">
      <x:c r="A34" s="10" t="n">
        <x:v>30</x:v>
      </x:c>
      <x:c r="B34" s="10" t="str">
        <x:v>R1</x:v>
      </x:c>
      <x:c r="C34" s="10" t="str">
        <x:v>Resistor (value not supplied)</x:v>
      </x:c>
      <x:c r="D34" s="10" t="n">
        <x:v>1</x:v>
      </x:c>
      <x:c r="E34" s="10" t="str"/>
      <x:c r="F34" s="10" t="str">
        <x:v>No resistance is given in the vendor BOM or schematic.</x:v>
      </x:c>
      <x:c r="G34" s="10" t="str">
        <x:v>Charge-termination current setting
Schematic page 1: charger / power path</x:v>
      </x:c>
      <x:c r="H34" s="10" t="str">
        <x:v>Confirm MPN,case/height,power,tolerance,TCR and voltage rating</x:v>
      </x:c>
      <x:c r="I34" s="10" t="str"/>
      <x:c r="J34" s="14" t="n">
        <x:v>1</x:v>
      </x:c>
      <x:c r="K34" s="12" t="n">
        <x:f>IF(AND(ISNUMBER(J34),J34&gt;=0,ISNUMBER(Summary!$F$5),Summary!$F$5&gt;0),J34/Summary!$F$5,"")</x:f>
        <x:v>0.03144159723313945</x:v>
      </x:c>
      <x:c r="L34" s="12" t="n">
        <x:f>IF(AND(ISNUMBER(J34),J34&gt;=0,ISNUMBER(D34),D34&gt;=0),J34*D34,"")</x:f>
        <x:v>1</x:v>
      </x:c>
      <x:c r="M34" s="12" t="n">
        <x:f>IF(AND(ISNUMBER(K34),ISNUMBER(D34),D34&gt;=0),K34*D34,"")</x:f>
        <x:v>0.03144159723313945</x:v>
      </x:c>
      <x:c r="N34" s="10" t="str">
        <x:v>Allowance</x:v>
      </x:c>
      <x:c r="O34" s="10" t="str">
        <x:v>vendor_BOM row 30;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5" ht="138" customHeight="1">
      <x:c r="A35" s="10" t="n">
        <x:v>31</x:v>
      </x:c>
      <x:c r="B35" s="10" t="str">
        <x:v>R2</x:v>
      </x:c>
      <x:c r="C35" s="10" t="str">
        <x:v>Resistor (value not supplied)</x:v>
      </x:c>
      <x:c r="D35" s="10" t="n">
        <x:v>1</x:v>
      </x:c>
      <x:c r="E35" s="10" t="str"/>
      <x:c r="F35" s="10" t="str">
        <x:v>No resistance is given in the vendor BOM or schematic.</x:v>
      </x:c>
      <x:c r="G35" s="10" t="str">
        <x:v>USB input-current limit setting
Schematic page 1: charger / power path</x:v>
      </x:c>
      <x:c r="H35" s="10" t="str">
        <x:v>Confirm MPN,case/height,power,tolerance,TCR and voltage rating</x:v>
      </x:c>
      <x:c r="I35" s="10" t="str"/>
      <x:c r="J35" s="14" t="n">
        <x:v>1</x:v>
      </x:c>
      <x:c r="K35" s="12" t="n">
        <x:f>IF(AND(ISNUMBER(J35),J35&gt;=0,ISNUMBER(Summary!$F$5),Summary!$F$5&gt;0),J35/Summary!$F$5,"")</x:f>
        <x:v>0.03144159723313945</x:v>
      </x:c>
      <x:c r="L35" s="12" t="n">
        <x:f>IF(AND(ISNUMBER(J35),J35&gt;=0,ISNUMBER(D35),D35&gt;=0),J35*D35,"")</x:f>
        <x:v>1</x:v>
      </x:c>
      <x:c r="M35" s="12" t="n">
        <x:f>IF(AND(ISNUMBER(K35),ISNUMBER(D35),D35&gt;=0),K35*D35,"")</x:f>
        <x:v>0.03144159723313945</x:v>
      </x:c>
      <x:c r="N35" s="10" t="str">
        <x:v>Allowance</x:v>
      </x:c>
      <x:c r="O35" s="10" t="str">
        <x:v>vendor_BOM row 31;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6" ht="138" customHeight="1">
      <x:c r="A36" s="10" t="n">
        <x:v>32</x:v>
      </x:c>
      <x:c r="B36" s="10" t="str">
        <x:v>R3</x:v>
      </x:c>
      <x:c r="C36" s="10" t="str">
        <x:v>Resistor (value not supplied)</x:v>
      </x:c>
      <x:c r="D36" s="10" t="n">
        <x:v>1</x:v>
      </x:c>
      <x:c r="E36" s="10" t="str"/>
      <x:c r="F36" s="10" t="str">
        <x:v>No resistance is given in the vendor BOM or schematic.</x:v>
      </x:c>
      <x:c r="G36" s="10" t="str">
        <x:v>Charge-current setting
Schematic page 1: charger / power path</x:v>
      </x:c>
      <x:c r="H36" s="10" t="str">
        <x:v>Confirm MPN,case/height,power,tolerance,TCR and voltage rating</x:v>
      </x:c>
      <x:c r="I36" s="10" t="str"/>
      <x:c r="J36" s="14" t="n">
        <x:v>1</x:v>
      </x:c>
      <x:c r="K36" s="12" t="n">
        <x:f>IF(AND(ISNUMBER(J36),J36&gt;=0,ISNUMBER(Summary!$F$5),Summary!$F$5&gt;0),J36/Summary!$F$5,"")</x:f>
        <x:v>0.03144159723313945</x:v>
      </x:c>
      <x:c r="L36" s="12" t="n">
        <x:f>IF(AND(ISNUMBER(J36),J36&gt;=0,ISNUMBER(D36),D36&gt;=0),J36*D36,"")</x:f>
        <x:v>1</x:v>
      </x:c>
      <x:c r="M36" s="12" t="n">
        <x:f>IF(AND(ISNUMBER(K36),ISNUMBER(D36),D36&gt;=0),K36*D36,"")</x:f>
        <x:v>0.03144159723313945</x:v>
      </x:c>
      <x:c r="N36" s="10" t="str">
        <x:v>Allowance</x:v>
      </x:c>
      <x:c r="O36" s="10" t="str">
        <x:v>vendor_BOM row 32;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7" ht="138" customHeight="1">
      <x:c r="A37" s="10" t="n">
        <x:v>33</x:v>
      </x:c>
      <x:c r="B37" s="10" t="str">
        <x:v>R4</x:v>
      </x:c>
      <x:c r="C37" s="10" t="str">
        <x:v>Resistor (value not supplied)</x:v>
      </x:c>
      <x:c r="D37" s="10" t="n">
        <x:v>1</x:v>
      </x:c>
      <x:c r="E37" s="10" t="str"/>
      <x:c r="F37" s="10" t="str">
        <x:v>No resistance is given in the vendor BOM or schematic.</x:v>
      </x:c>
      <x:c r="G37" s="10" t="str">
        <x:v>Series link from SW1 to boost EN
Schematic page 1: power enable</x:v>
      </x:c>
      <x:c r="H37" s="10" t="str">
        <x:v>Confirm MPN,case/height,power,tolerance,TCR and voltage rating</x:v>
      </x:c>
      <x:c r="I37" s="10" t="str"/>
      <x:c r="J37" s="14" t="n">
        <x:v>1</x:v>
      </x:c>
      <x:c r="K37" s="12" t="n">
        <x:f>IF(AND(ISNUMBER(J37),J37&gt;=0,ISNUMBER(Summary!$F$5),Summary!$F$5&gt;0),J37/Summary!$F$5,"")</x:f>
        <x:v>0.03144159723313945</x:v>
      </x:c>
      <x:c r="L37" s="12" t="n">
        <x:f>IF(AND(ISNUMBER(J37),J37&gt;=0,ISNUMBER(D37),D37&gt;=0),J37*D37,"")</x:f>
        <x:v>1</x:v>
      </x:c>
      <x:c r="M37" s="12" t="n">
        <x:f>IF(AND(ISNUMBER(K37),ISNUMBER(D37),D37&gt;=0),K37*D37,"")</x:f>
        <x:v>0.03144159723313945</x:v>
      </x:c>
      <x:c r="N37" s="10" t="str">
        <x:v>Allowance</x:v>
      </x:c>
      <x:c r="O37" s="10" t="str">
        <x:v>vendor_BOM row 33;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8" ht="138" customHeight="1">
      <x:c r="A38" s="10" t="n">
        <x:v>34</x:v>
      </x:c>
      <x:c r="B38" s="10" t="str">
        <x:v>R5</x:v>
      </x:c>
      <x:c r="C38" s="10" t="str">
        <x:v>Resistor (value not supplied)</x:v>
      </x:c>
      <x:c r="D38" s="10" t="n">
        <x:v>1</x:v>
      </x:c>
      <x:c r="E38" s="10" t="str"/>
      <x:c r="F38" s="10" t="str">
        <x:v>No resistance is given in the vendor BOM or schematic.</x:v>
      </x:c>
      <x:c r="G38" s="10" t="str">
        <x:v>DPS1 status-LED current limiting
Schematic page 1: charger status</x:v>
      </x:c>
      <x:c r="H38" s="10" t="str">
        <x:v>Confirm MPN,case/height,power,tolerance,TCR and voltage rating</x:v>
      </x:c>
      <x:c r="I38" s="10" t="str"/>
      <x:c r="J38" s="14" t="n">
        <x:v>1</x:v>
      </x:c>
      <x:c r="K38" s="12" t="n">
        <x:f>IF(AND(ISNUMBER(J38),J38&gt;=0,ISNUMBER(Summary!$F$5),Summary!$F$5&gt;0),J38/Summary!$F$5,"")</x:f>
        <x:v>0.03144159723313945</x:v>
      </x:c>
      <x:c r="L38" s="12" t="n">
        <x:f>IF(AND(ISNUMBER(J38),J38&gt;=0,ISNUMBER(D38),D38&gt;=0),J38*D38,"")</x:f>
        <x:v>1</x:v>
      </x:c>
      <x:c r="M38" s="12" t="n">
        <x:f>IF(AND(ISNUMBER(K38),ISNUMBER(D38),D38&gt;=0),K38*D38,"")</x:f>
        <x:v>0.03144159723313945</x:v>
      </x:c>
      <x:c r="N38" s="10" t="str">
        <x:v>Allowance</x:v>
      </x:c>
      <x:c r="O38" s="10" t="str">
        <x:v>vendor_BOM row 34;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9" ht="138" customHeight="1">
      <x:c r="A39" s="10" t="n">
        <x:v>35</x:v>
      </x:c>
      <x:c r="B39" s="10" t="str">
        <x:v>R6</x:v>
      </x:c>
      <x:c r="C39" s="10" t="str">
        <x:v>Resistor (value not supplied)</x:v>
      </x:c>
      <x:c r="D39" s="10" t="n">
        <x:v>1</x:v>
      </x:c>
      <x:c r="E39" s="10" t="str"/>
      <x:c r="F39" s="10" t="str">
        <x:v>No resistance is given in the vendor BOM or schematic.</x:v>
      </x:c>
      <x:c r="G39" s="10" t="str">
        <x:v>Upper boost-feedback divider
Schematic page 1: boost supply</x:v>
      </x:c>
      <x:c r="H39" s="10" t="str">
        <x:v>Confirm MPN,case/height,power,tolerance,TCR and voltage rating</x:v>
      </x:c>
      <x:c r="I39" s="10" t="str"/>
      <x:c r="J39" s="14" t="n">
        <x:v>1</x:v>
      </x:c>
      <x:c r="K39" s="12" t="n">
        <x:f>IF(AND(ISNUMBER(J39),J39&gt;=0,ISNUMBER(Summary!$F$5),Summary!$F$5&gt;0),J39/Summary!$F$5,"")</x:f>
        <x:v>0.03144159723313945</x:v>
      </x:c>
      <x:c r="L39" s="12" t="n">
        <x:f>IF(AND(ISNUMBER(J39),J39&gt;=0,ISNUMBER(D39),D39&gt;=0),J39*D39,"")</x:f>
        <x:v>1</x:v>
      </x:c>
      <x:c r="M39" s="12" t="n">
        <x:f>IF(AND(ISNUMBER(K39),ISNUMBER(D39),D39&gt;=0),K39*D39,"")</x:f>
        <x:v>0.03144159723313945</x:v>
      </x:c>
      <x:c r="N39" s="10" t="str">
        <x:v>Allowance</x:v>
      </x:c>
      <x:c r="O39" s="10" t="str">
        <x:v>vendor_BOM row 35;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0" ht="138" customHeight="1">
      <x:c r="A40" s="10" t="n">
        <x:v>36</x:v>
      </x:c>
      <x:c r="B40" s="10" t="str">
        <x:v>R7</x:v>
      </x:c>
      <x:c r="C40" s="10" t="str">
        <x:v>Resistor (value not supplied)</x:v>
      </x:c>
      <x:c r="D40" s="10" t="n">
        <x:v>1</x:v>
      </x:c>
      <x:c r="E40" s="10" t="str"/>
      <x:c r="F40" s="10" t="str">
        <x:v>No resistance is given in the vendor BOM or schematic.</x:v>
      </x:c>
      <x:c r="G40" s="10" t="str">
        <x:v>DPS2 charging-LED current limiting
Schematic page 1: charger status</x:v>
      </x:c>
      <x:c r="H40" s="10" t="str">
        <x:v>Confirm MPN,case/height,power,tolerance,TCR and voltage rating</x:v>
      </x:c>
      <x:c r="I40" s="10" t="str"/>
      <x:c r="J40" s="14" t="n">
        <x:v>1</x:v>
      </x:c>
      <x:c r="K40" s="12" t="n">
        <x:f>IF(AND(ISNUMBER(J40),J40&gt;=0,ISNUMBER(Summary!$F$5),Summary!$F$5&gt;0),J40/Summary!$F$5,"")</x:f>
        <x:v>0.03144159723313945</x:v>
      </x:c>
      <x:c r="L40" s="12" t="n">
        <x:f>IF(AND(ISNUMBER(J40),J40&gt;=0,ISNUMBER(D40),D40&gt;=0),J40*D40,"")</x:f>
        <x:v>1</x:v>
      </x:c>
      <x:c r="M40" s="12" t="n">
        <x:f>IF(AND(ISNUMBER(K40),ISNUMBER(D40),D40&gt;=0),K40*D40,"")</x:f>
        <x:v>0.03144159723313945</x:v>
      </x:c>
      <x:c r="N40" s="10" t="str">
        <x:v>Allowance</x:v>
      </x:c>
      <x:c r="O40" s="10" t="str">
        <x:v>vendor_BOM row 36;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1" ht="138" customHeight="1">
      <x:c r="A41" s="10" t="n">
        <x:v>37</x:v>
      </x:c>
      <x:c r="B41" s="10" t="str">
        <x:v>R8</x:v>
      </x:c>
      <x:c r="C41" s="10" t="str">
        <x:v>Resistor (value not supplied)</x:v>
      </x:c>
      <x:c r="D41" s="10" t="n">
        <x:v>1</x:v>
      </x:c>
      <x:c r="E41" s="10" t="str"/>
      <x:c r="F41" s="10" t="str">
        <x:v>No resistance is given in the vendor BOM or schematic.</x:v>
      </x:c>
      <x:c r="G41" s="10" t="str">
        <x:v>Lower boost-feedback divider
Schematic page 1: boost supply</x:v>
      </x:c>
      <x:c r="H41" s="10" t="str">
        <x:v>Confirm MPN,case/height,power,tolerance,TCR and voltage rating</x:v>
      </x:c>
      <x:c r="I41" s="10" t="str"/>
      <x:c r="J41" s="14" t="n">
        <x:v>1</x:v>
      </x:c>
      <x:c r="K41" s="12" t="n">
        <x:f>IF(AND(ISNUMBER(J41),J41&gt;=0,ISNUMBER(Summary!$F$5),Summary!$F$5&gt;0),J41/Summary!$F$5,"")</x:f>
        <x:v>0.03144159723313945</x:v>
      </x:c>
      <x:c r="L41" s="12" t="n">
        <x:f>IF(AND(ISNUMBER(J41),J41&gt;=0,ISNUMBER(D41),D41&gt;=0),J41*D41,"")</x:f>
        <x:v>1</x:v>
      </x:c>
      <x:c r="M41" s="12" t="n">
        <x:f>IF(AND(ISNUMBER(K41),ISNUMBER(D41),D41&gt;=0),K41*D41,"")</x:f>
        <x:v>0.03144159723313945</x:v>
      </x:c>
      <x:c r="N41" s="10" t="str">
        <x:v>Allowance</x:v>
      </x:c>
      <x:c r="O41" s="10" t="str">
        <x:v>vendor_BOM row 37;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2" ht="138" customHeight="1">
      <x:c r="A42" s="10" t="n">
        <x:v>38</x:v>
      </x:c>
      <x:c r="B42" s="10" t="str">
        <x:v>R9</x:v>
      </x:c>
      <x:c r="C42" s="10" t="str">
        <x:v>Resistor (value not supplied)</x:v>
      </x:c>
      <x:c r="D42" s="10" t="n">
        <x:v>1</x:v>
      </x:c>
      <x:c r="E42" s="10" t="str"/>
      <x:c r="F42" s="10" t="str">
        <x:v>No resistance is given in the vendor BOM or schematic.</x:v>
      </x:c>
      <x:c r="G42" s="10" t="str">
        <x:v>Charger TS bias; not verified temperature sensing
Schematic page 1: charger TS</x:v>
      </x:c>
      <x:c r="H42" s="10" t="str">
        <x:v>Confirm MPN,case/height,power,tolerance,TCR and voltage rating</x:v>
      </x:c>
      <x:c r="I42" s="10" t="str"/>
      <x:c r="J42" s="14" t="n">
        <x:v>1</x:v>
      </x:c>
      <x:c r="K42" s="12" t="n">
        <x:f>IF(AND(ISNUMBER(J42),J42&gt;=0,ISNUMBER(Summary!$F$5),Summary!$F$5&gt;0),J42/Summary!$F$5,"")</x:f>
        <x:v>0.03144159723313945</x:v>
      </x:c>
      <x:c r="L42" s="12" t="n">
        <x:f>IF(AND(ISNUMBER(J42),J42&gt;=0,ISNUMBER(D42),D42&gt;=0),J42*D42,"")</x:f>
        <x:v>1</x:v>
      </x:c>
      <x:c r="M42" s="12" t="n">
        <x:f>IF(AND(ISNUMBER(K42),ISNUMBER(D42),D42&gt;=0),K42*D42,"")</x:f>
        <x:v>0.03144159723313945</x:v>
      </x:c>
      <x:c r="N42" s="10" t="str">
        <x:v>Allowance</x:v>
      </x:c>
      <x:c r="O42" s="10" t="str">
        <x:v>vendor_BOM row 38;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3" ht="138" customHeight="1">
      <x:c r="A43" s="10" t="n">
        <x:v>39</x:v>
      </x:c>
      <x:c r="B43" s="10" t="str">
        <x:v>R10</x:v>
      </x:c>
      <x:c r="C43" s="10" t="str">
        <x:v>Resistor (value not supplied)</x:v>
      </x:c>
      <x:c r="D43" s="10" t="n">
        <x:v>1</x:v>
      </x:c>
      <x:c r="E43" s="10" t="str"/>
      <x:c r="F43" s="10" t="str">
        <x:v>No resistance is given in the vendor BOM or schematic.</x:v>
      </x:c>
      <x:c r="G43" s="10" t="str">
        <x:v>Upper divider to U3 P2
Schematic page 1: U3 power-control circuitry</x:v>
      </x:c>
      <x:c r="H43" s="10" t="str">
        <x:v>Confirm MPN,case/height,power,tolerance,TCR and voltage rating</x:v>
      </x:c>
      <x:c r="I43" s="10" t="str"/>
      <x:c r="J43" s="14" t="n">
        <x:v>1</x:v>
      </x:c>
      <x:c r="K43" s="12" t="n">
        <x:f>IF(AND(ISNUMBER(J43),J43&gt;=0,ISNUMBER(Summary!$F$5),Summary!$F$5&gt;0),J43/Summary!$F$5,"")</x:f>
        <x:v>0.03144159723313945</x:v>
      </x:c>
      <x:c r="L43" s="12" t="n">
        <x:f>IF(AND(ISNUMBER(J43),J43&gt;=0,ISNUMBER(D43),D43&gt;=0),J43*D43,"")</x:f>
        <x:v>1</x:v>
      </x:c>
      <x:c r="M43" s="12" t="n">
        <x:f>IF(AND(ISNUMBER(K43),ISNUMBER(D43),D43&gt;=0),K43*D43,"")</x:f>
        <x:v>0.03144159723313945</x:v>
      </x:c>
      <x:c r="N43" s="10" t="str">
        <x:v>Allowance</x:v>
      </x:c>
      <x:c r="O43" s="10" t="str">
        <x:v>vendor_BOM row 39;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4" ht="138" customHeight="1">
      <x:c r="A44" s="10" t="n">
        <x:v>40</x:v>
      </x:c>
      <x:c r="B44" s="10" t="str">
        <x:v>R11</x:v>
      </x:c>
      <x:c r="C44" s="10" t="str">
        <x:v>Resistor (value not supplied)</x:v>
      </x:c>
      <x:c r="D44" s="10" t="n">
        <x:v>1</x:v>
      </x:c>
      <x:c r="E44" s="10" t="str"/>
      <x:c r="F44" s="10" t="str">
        <x:v>No resistance is given in the vendor BOM or schematic.</x:v>
      </x:c>
      <x:c r="G44" s="10" t="str">
        <x:v>U1 EN / U3 P3 pull-down
Schematic page 1: power enable</x:v>
      </x:c>
      <x:c r="H44" s="10" t="str">
        <x:v>Confirm MPN,case/height,power,tolerance,TCR and voltage rating</x:v>
      </x:c>
      <x:c r="I44" s="10" t="str"/>
      <x:c r="J44" s="14" t="n">
        <x:v>1</x:v>
      </x:c>
      <x:c r="K44" s="12" t="n">
        <x:f>IF(AND(ISNUMBER(J44),J44&gt;=0,ISNUMBER(Summary!$F$5),Summary!$F$5&gt;0),J44/Summary!$F$5,"")</x:f>
        <x:v>0.03144159723313945</x:v>
      </x:c>
      <x:c r="L44" s="12" t="n">
        <x:f>IF(AND(ISNUMBER(J44),J44&gt;=0,ISNUMBER(D44),D44&gt;=0),J44*D44,"")</x:f>
        <x:v>1</x:v>
      </x:c>
      <x:c r="M44" s="12" t="n">
        <x:f>IF(AND(ISNUMBER(K44),ISNUMBER(D44),D44&gt;=0),K44*D44,"")</x:f>
        <x:v>0.03144159723313945</x:v>
      </x:c>
      <x:c r="N44" s="10" t="str">
        <x:v>Allowance</x:v>
      </x:c>
      <x:c r="O44" s="10" t="str">
        <x:v>vendor_BOM row 40;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5" ht="138" customHeight="1">
      <x:c r="A45" s="10" t="n">
        <x:v>41</x:v>
      </x:c>
      <x:c r="B45" s="10" t="str">
        <x:v>R12</x:v>
      </x:c>
      <x:c r="C45" s="10" t="str">
        <x:v>Resistor (value not supplied)</x:v>
      </x:c>
      <x:c r="D45" s="10" t="n">
        <x:v>1</x:v>
      </x:c>
      <x:c r="E45" s="10" t="str"/>
      <x:c r="F45" s="10" t="str">
        <x:v>No resistance is given in the vendor BOM or schematic.</x:v>
      </x:c>
      <x:c r="G45" s="10" t="str">
        <x:v>Lower divider from U3 P2
Schematic page 1: U3 power-control circuitry</x:v>
      </x:c>
      <x:c r="H45" s="10" t="str">
        <x:v>Confirm MPN,case/height,power,tolerance,TCR and voltage rating</x:v>
      </x:c>
      <x:c r="I45" s="10" t="str"/>
      <x:c r="J45" s="14" t="n">
        <x:v>1</x:v>
      </x:c>
      <x:c r="K45" s="12" t="n">
        <x:f>IF(AND(ISNUMBER(J45),J45&gt;=0,ISNUMBER(Summary!$F$5),Summary!$F$5&gt;0),J45/Summary!$F$5,"")</x:f>
        <x:v>0.03144159723313945</x:v>
      </x:c>
      <x:c r="L45" s="12" t="n">
        <x:f>IF(AND(ISNUMBER(J45),J45&gt;=0,ISNUMBER(D45),D45&gt;=0),J45*D45,"")</x:f>
        <x:v>1</x:v>
      </x:c>
      <x:c r="M45" s="12" t="n">
        <x:f>IF(AND(ISNUMBER(K45),ISNUMBER(D45),D45&gt;=0),K45*D45,"")</x:f>
        <x:v>0.03144159723313945</x:v>
      </x:c>
      <x:c r="N45" s="10" t="str">
        <x:v>Allowance</x:v>
      </x:c>
      <x:c r="O45" s="10" t="str">
        <x:v>vendor_BOM row 41;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6" ht="138" customHeight="1">
      <x:c r="A46" s="10" t="n">
        <x:v>42</x:v>
      </x:c>
      <x:c r="B46" s="10" t="str">
        <x:v>R13</x:v>
      </x:c>
      <x:c r="C46" s="10" t="str">
        <x:v>Resistor (value not supplied)</x:v>
      </x:c>
      <x:c r="D46" s="10" t="n">
        <x:v>1</x:v>
      </x:c>
      <x:c r="E46" s="10" t="str"/>
      <x:c r="F46" s="10" t="str">
        <x:v>No resistance is given in the vendor BOM or schematic.</x:v>
      </x:c>
      <x:c r="G46" s="10" t="str">
        <x:v>USB-C CC1 pull-down
Schematic page 1: USB-C</x:v>
      </x:c>
      <x:c r="H46" s="10" t="str">
        <x:v>Confirm MPN,case/height,power,tolerance,TCR and voltage rating</x:v>
      </x:c>
      <x:c r="I46" s="10" t="str"/>
      <x:c r="J46" s="14" t="n">
        <x:v>1</x:v>
      </x:c>
      <x:c r="K46" s="12" t="n">
        <x:f>IF(AND(ISNUMBER(J46),J46&gt;=0,ISNUMBER(Summary!$F$5),Summary!$F$5&gt;0),J46/Summary!$F$5,"")</x:f>
        <x:v>0.03144159723313945</x:v>
      </x:c>
      <x:c r="L46" s="12" t="n">
        <x:f>IF(AND(ISNUMBER(J46),J46&gt;=0,ISNUMBER(D46),D46&gt;=0),J46*D46,"")</x:f>
        <x:v>1</x:v>
      </x:c>
      <x:c r="M46" s="12" t="n">
        <x:f>IF(AND(ISNUMBER(K46),ISNUMBER(D46),D46&gt;=0),K46*D46,"")</x:f>
        <x:v>0.03144159723313945</x:v>
      </x:c>
      <x:c r="N46" s="10" t="str">
        <x:v>Allowance</x:v>
      </x:c>
      <x:c r="O46" s="10" t="str">
        <x:v>vendor_BOM row 42;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7" ht="138" customHeight="1">
      <x:c r="A47" s="10" t="n">
        <x:v>43</x:v>
      </x:c>
      <x:c r="B47" s="10" t="str">
        <x:v>R14</x:v>
      </x:c>
      <x:c r="C47" s="10" t="str">
        <x:v>Resistor (value not supplied)</x:v>
      </x:c>
      <x:c r="D47" s="10" t="n">
        <x:v>1</x:v>
      </x:c>
      <x:c r="E47" s="10" t="str"/>
      <x:c r="F47" s="10" t="str">
        <x:v>No resistance is given in the vendor BOM or schematic.</x:v>
      </x:c>
      <x:c r="G47" s="10" t="str">
        <x:v>USB-C CC2 pull-down
Schematic page 1: USB-C</x:v>
      </x:c>
      <x:c r="H47" s="10" t="str">
        <x:v>Confirm MPN,case/height,power,tolerance,TCR and voltage rating</x:v>
      </x:c>
      <x:c r="I47" s="10" t="str"/>
      <x:c r="J47" s="14" t="n">
        <x:v>1</x:v>
      </x:c>
      <x:c r="K47" s="12" t="n">
        <x:f>IF(AND(ISNUMBER(J47),J47&gt;=0,ISNUMBER(Summary!$F$5),Summary!$F$5&gt;0),J47/Summary!$F$5,"")</x:f>
        <x:v>0.03144159723313945</x:v>
      </x:c>
      <x:c r="L47" s="12" t="n">
        <x:f>IF(AND(ISNUMBER(J47),J47&gt;=0,ISNUMBER(D47),D47&gt;=0),J47*D47,"")</x:f>
        <x:v>1</x:v>
      </x:c>
      <x:c r="M47" s="12" t="n">
        <x:f>IF(AND(ISNUMBER(K47),ISNUMBER(D47),D47&gt;=0),K47*D47,"")</x:f>
        <x:v>0.03144159723313945</x:v>
      </x:c>
      <x:c r="N47" s="10" t="str">
        <x:v>Allowance</x:v>
      </x:c>
      <x:c r="O47" s="10" t="str">
        <x:v>vendor_BOM row 43;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8" ht="138" customHeight="1">
      <x:c r="A48" s="10" t="n">
        <x:v>44</x:v>
      </x:c>
      <x:c r="B48" s="10" t="str">
        <x:v>R15,R28,R35</x:v>
      </x:c>
      <x:c r="C48" s="10" t="str">
        <x:v>10 kΩ resistor</x:v>
      </x:c>
      <x:c r="D48" s="10" t="n">
        <x:v>3</x:v>
      </x:c>
      <x:c r="E48" s="10" t="str">
        <x:v>10k</x:v>
      </x:c>
      <x:c r="F48" s="10" t="str">
        <x:v>Vendor nominal resistance: 10k.</x:v>
      </x:c>
      <x:c r="G48" s="10" t="str">
        <x:v>ESP_EN/reference SHDN/ADC DIN pull-ups
Schematic page 2: ESP32 reset；Schematic page 2: 2V5_REF；Schematic page 2: ADC</x:v>
      </x:c>
      <x:c r="H48" s="10" t="str">
        <x:v>Confirm MPN,case/height,power,tolerance,TCR and voltage rating</x:v>
      </x:c>
      <x:c r="I48" s="10" t="str"/>
      <x:c r="J48" s="14" t="n">
        <x:v>1</x:v>
      </x:c>
      <x:c r="K48" s="12" t="n">
        <x:f>IF(AND(ISNUMBER(J48),J48&gt;=0,ISNUMBER(Summary!$F$5),Summary!$F$5&gt;0),J48/Summary!$F$5,"")</x:f>
        <x:v>0.03144159723313945</x:v>
      </x:c>
      <x:c r="L48" s="12" t="n">
        <x:f>IF(AND(ISNUMBER(J48),J48&gt;=0,ISNUMBER(D48),D48&gt;=0),J48*D48,"")</x:f>
        <x:v>3</x:v>
      </x:c>
      <x:c r="M48" s="12" t="n">
        <x:f>IF(AND(ISNUMBER(K48),ISNUMBER(D48),D48&gt;=0),K48*D48,"")</x:f>
        <x:v>0.09432479169941835</x:v>
      </x:c>
      <x:c r="N48" s="10" t="str">
        <x:v>Allowance</x:v>
      </x:c>
      <x:c r="O48" s="10" t="str">
        <x:v>vendor_BOM row 44;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9" ht="138" customHeight="1">
      <x:c r="A49" s="10" t="n">
        <x:v>45</x:v>
      </x:c>
      <x:c r="B49" s="10" t="str">
        <x:v>R16,R21,R24,R29,R30,R31,R36</x:v>
      </x:c>
      <x:c r="C49" s="10" t="str">
        <x:v>100 Ω resistor</x:v>
      </x:c>
      <x:c r="D49" s="10" t="n">
        <x:v>7</x:v>
      </x:c>
      <x:c r="E49" s="10" t="str">
        <x:v>100R</x:v>
      </x:c>
      <x:c r="F49" s="10" t="str">
        <x:v>Vendor nominal resistance: 100R.</x:v>
      </x:c>
      <x:c r="G49" s="10" t="str">
        <x:v>LED current limiting; TIA/ADC isolation/supply filtering
Schematic page 2: LEDs；Schematic page 2: TIA / ADC；Schematic page 2: TIA supply</x:v>
      </x:c>
      <x:c r="H49" s="10" t="str">
        <x:v>Confirm MPN,case/height,power,tolerance,TCR and voltage rating</x:v>
      </x:c>
      <x:c r="I49" s="10" t="str"/>
      <x:c r="J49" s="14" t="n">
        <x:v>1</x:v>
      </x:c>
      <x:c r="K49" s="12" t="n">
        <x:f>IF(AND(ISNUMBER(J49),J49&gt;=0,ISNUMBER(Summary!$F$5),Summary!$F$5&gt;0),J49/Summary!$F$5,"")</x:f>
        <x:v>0.03144159723313945</x:v>
      </x:c>
      <x:c r="L49" s="12" t="n">
        <x:f>IF(AND(ISNUMBER(J49),J49&gt;=0,ISNUMBER(D49),D49&gt;=0),J49*D49,"")</x:f>
        <x:v>7</x:v>
      </x:c>
      <x:c r="M49" s="12" t="n">
        <x:f>IF(AND(ISNUMBER(K49),ISNUMBER(D49),D49&gt;=0),K49*D49,"")</x:f>
        <x:v>0.22009118063197614</x:v>
      </x:c>
      <x:c r="N49" s="10" t="str">
        <x:v>Allowance</x:v>
      </x:c>
      <x:c r="O49" s="10" t="str">
        <x:v>vendor_BOM row 45;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0" ht="138" customHeight="1">
      <x:c r="A50" s="10" t="n">
        <x:v>46</x:v>
      </x:c>
      <x:c r="B50" s="10" t="str">
        <x:v>R17,R22,R25,R32</x:v>
      </x:c>
      <x:c r="C50" s="10" t="str">
        <x:v>220 Ω resistor</x:v>
      </x:c>
      <x:c r="D50" s="10" t="n">
        <x:v>4</x:v>
      </x:c>
      <x:c r="E50" s="10" t="str">
        <x:v>220R</x:v>
      </x:c>
      <x:c r="F50" s="10" t="str">
        <x:v>Vendor nominal resistance: 220R.</x:v>
      </x:c>
      <x:c r="G50" s="10" t="str">
        <x:v>LED-MOSFET series gate resistors
Schematic page 2: LEDs</x:v>
      </x:c>
      <x:c r="H50" s="10" t="str">
        <x:v>Confirm MPN,case/height,power,tolerance,TCR and voltage rating</x:v>
      </x:c>
      <x:c r="I50" s="10" t="str"/>
      <x:c r="J50" s="14" t="n">
        <x:v>1</x:v>
      </x:c>
      <x:c r="K50" s="12" t="n">
        <x:f>IF(AND(ISNUMBER(J50),J50&gt;=0,ISNUMBER(Summary!$F$5),Summary!$F$5&gt;0),J50/Summary!$F$5,"")</x:f>
        <x:v>0.03144159723313945</x:v>
      </x:c>
      <x:c r="L50" s="12" t="n">
        <x:f>IF(AND(ISNUMBER(J50),J50&gt;=0,ISNUMBER(D50),D50&gt;=0),J50*D50,"")</x:f>
        <x:v>4</x:v>
      </x:c>
      <x:c r="M50" s="12" t="n">
        <x:f>IF(AND(ISNUMBER(K50),ISNUMBER(D50),D50&gt;=0),K50*D50,"")</x:f>
        <x:v>0.1257663889325578</x:v>
      </x:c>
      <x:c r="N50" s="10" t="str">
        <x:v>Allowance</x:v>
      </x:c>
      <x:c r="O50" s="10" t="str">
        <x:v>vendor_BOM row 46;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1" ht="138" customHeight="1">
      <x:c r="A51" s="10" t="n">
        <x:v>47</x:v>
      </x:c>
      <x:c r="B51" s="10" t="str">
        <x:v>R20,R23,R26,R33</x:v>
      </x:c>
      <x:c r="C51" s="10" t="str">
        <x:v>100 kΩ resistor</x:v>
      </x:c>
      <x:c r="D51" s="10" t="n">
        <x:v>4</x:v>
      </x:c>
      <x:c r="E51" s="10" t="str">
        <x:v>100k</x:v>
      </x:c>
      <x:c r="F51" s="10" t="str">
        <x:v>Vendor nominal resistance: 100k.</x:v>
      </x:c>
      <x:c r="G51" s="10" t="str">
        <x:v>LED-MOSFET gate pull-downs
Schematic page 2: LEDs</x:v>
      </x:c>
      <x:c r="H51" s="10" t="str">
        <x:v>Confirm MPN,case/height,power,tolerance,TCR and voltage rating</x:v>
      </x:c>
      <x:c r="I51" s="10" t="str"/>
      <x:c r="J51" s="14" t="n">
        <x:v>1</x:v>
      </x:c>
      <x:c r="K51" s="12" t="n">
        <x:f>IF(AND(ISNUMBER(J51),J51&gt;=0,ISNUMBER(Summary!$F$5),Summary!$F$5&gt;0),J51/Summary!$F$5,"")</x:f>
        <x:v>0.03144159723313945</x:v>
      </x:c>
      <x:c r="L51" s="12" t="n">
        <x:f>IF(AND(ISNUMBER(J51),J51&gt;=0,ISNUMBER(D51),D51&gt;=0),J51*D51,"")</x:f>
        <x:v>4</x:v>
      </x:c>
      <x:c r="M51" s="12" t="n">
        <x:f>IF(AND(ISNUMBER(K51),ISNUMBER(D51),D51&gt;=0),K51*D51,"")</x:f>
        <x:v>0.1257663889325578</x:v>
      </x:c>
      <x:c r="N51" s="10" t="str">
        <x:v>Allowance</x:v>
      </x:c>
      <x:c r="O51" s="10" t="str">
        <x:v>vendor_BOM row 47;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2" ht="138" customHeight="1">
      <x:c r="A52" s="10" t="n">
        <x:v>48</x:v>
      </x:c>
      <x:c r="B52" s="10" t="str">
        <x:v>R27</x:v>
      </x:c>
      <x:c r="C52" s="10" t="str">
        <x:v>100 MΩ resistor</x:v>
      </x:c>
      <x:c r="D52" s="10" t="n">
        <x:v>1</x:v>
      </x:c>
      <x:c r="E52" s="10" t="str">
        <x:v>100M</x:v>
      </x:c>
      <x:c r="F52" s="10" t="str">
        <x:v>Vendor nominal resistance: 100M.</x:v>
      </x:c>
      <x:c r="G52" s="10" t="str">
        <x:v>PD transimpedance feedback
Schematic page 2: TIA</x:v>
      </x:c>
      <x:c r="H52" s="10" t="str">
        <x:v>Confirm MPN/package,ratings/tolerance,leakage and noise</x:v>
      </x:c>
      <x:c r="I52" s="10" t="str"/>
      <x:c r="J52" s="14" t="n">
        <x:v>30</x:v>
      </x:c>
      <x:c r="K52" s="12" t="n">
        <x:f>IF(AND(ISNUMBER(J52),J52&gt;=0,ISNUMBER(Summary!$F$5),Summary!$F$5&gt;0),J52/Summary!$F$5,"")</x:f>
        <x:v>0.9432479169941833</x:v>
      </x:c>
      <x:c r="L52" s="12" t="n">
        <x:f>IF(AND(ISNUMBER(J52),J52&gt;=0,ISNUMBER(D52),D52&gt;=0),J52*D52,"")</x:f>
        <x:v>30</x:v>
      </x:c>
      <x:c r="M52" s="12" t="n">
        <x:f>IF(AND(ISNUMBER(K52),ISNUMBER(D52),D52&gt;=0),K52*D52,"")</x:f>
        <x:v>0.9432479169941833</x:v>
      </x:c>
      <x:c r="N52" s="10" t="str">
        <x:v>Allowance</x:v>
      </x:c>
      <x:c r="O52" s="10" t="str">
        <x:v>vendor_BOM row 48;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3" ht="138" customHeight="1">
      <x:c r="A53" s="10" t="n">
        <x:v>49</x:v>
      </x:c>
      <x:c r="B53" s="10" t="str">
        <x:v>R34</x:v>
      </x:c>
      <x:c r="C53" s="10" t="str">
        <x:v>0.1 Ω resistor</x:v>
      </x:c>
      <x:c r="D53" s="10" t="n">
        <x:v>1</x:v>
      </x:c>
      <x:c r="E53" s="10" t="str">
        <x:v>0.1R</x:v>
      </x:c>
      <x:c r="F53" s="10" t="str">
        <x:v>Vendor nominal resistance: 0.1R.</x:v>
      </x:c>
      <x:c r="G53" s="10" t="str">
        <x:v>Reference-bypass branch in series with C28
Schematic page 2: ADC reference</x:v>
      </x:c>
      <x:c r="H53" s="10" t="str">
        <x:v>Confirm MPN,case/height,power,tolerance,TCR and voltage rating</x:v>
      </x:c>
      <x:c r="I53" s="10" t="str"/>
      <x:c r="J53" s="14" t="n">
        <x:v>5</x:v>
      </x:c>
      <x:c r="K53" s="12" t="n">
        <x:f>IF(AND(ISNUMBER(J53),J53&gt;=0,ISNUMBER(Summary!$F$5),Summary!$F$5&gt;0),J53/Summary!$F$5,"")</x:f>
        <x:v>0.15720798616569723</x:v>
      </x:c>
      <x:c r="L53" s="12" t="n">
        <x:f>IF(AND(ISNUMBER(J53),J53&gt;=0,ISNUMBER(D53),D53&gt;=0),J53*D53,"")</x:f>
        <x:v>5</x:v>
      </x:c>
      <x:c r="M53" s="12" t="n">
        <x:f>IF(AND(ISNUMBER(K53),ISNUMBER(D53),D53&gt;=0),K53*D53,"")</x:f>
        <x:v>0.15720798616569723</x:v>
      </x:c>
      <x:c r="N53" s="10" t="str">
        <x:v>Allowance</x:v>
      </x:c>
      <x:c r="O53" s="10" t="str">
        <x:v>vendor_BOM row 49;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4" ht="138" customHeight="1">
      <x:c r="A54" s="10" t="n">
        <x:v>50</x:v>
      </x:c>
      <x:c r="B54" s="10" t="str">
        <x:v>R37,R38</x:v>
      </x:c>
      <x:c r="C54" s="10" t="str">
        <x:v>47 Ω resistor</x:v>
      </x:c>
      <x:c r="D54" s="10" t="n">
        <x:v>2</x:v>
      </x:c>
      <x:c r="E54" s="10" t="str">
        <x:v>47R</x:v>
      </x:c>
      <x:c r="F54" s="10" t="str">
        <x:v>Vendor nominal resistance: 47R.</x:v>
      </x:c>
      <x:c r="G54" s="10" t="str">
        <x:v>ADC SCLK/CONVST series resistors
Schematic page 2: ADC digital interface</x:v>
      </x:c>
      <x:c r="H54" s="10" t="str">
        <x:v>Confirm MPN,case/height,power,tolerance,TCR and voltage rating</x:v>
      </x:c>
      <x:c r="I54" s="10" t="str"/>
      <x:c r="J54" s="14" t="n">
        <x:v>1</x:v>
      </x:c>
      <x:c r="K54" s="12" t="n">
        <x:f>IF(AND(ISNUMBER(J54),J54&gt;=0,ISNUMBER(Summary!$F$5),Summary!$F$5&gt;0),J54/Summary!$F$5,"")</x:f>
        <x:v>0.03144159723313945</x:v>
      </x:c>
      <x:c r="L54" s="12" t="n">
        <x:f>IF(AND(ISNUMBER(J54),J54&gt;=0,ISNUMBER(D54),D54&gt;=0),J54*D54,"")</x:f>
        <x:v>2</x:v>
      </x:c>
      <x:c r="M54" s="12" t="n">
        <x:f>IF(AND(ISNUMBER(K54),ISNUMBER(D54),D54&gt;=0),K54*D54,"")</x:f>
        <x:v>0.0628831944662789</x:v>
      </x:c>
      <x:c r="N54" s="10" t="str">
        <x:v>Allowance</x:v>
      </x:c>
      <x:c r="O54" s="10" t="str">
        <x:v>vendor_BOM row 50;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5" ht="138" customHeight="1">
      <x:c r="A55" s="10" t="n">
        <x:v>51</x:v>
      </x:c>
      <x:c r="B55" s="10" t="str">
        <x:v>SW1</x:v>
      </x:c>
      <x:c r="C55" s="10" t="str">
        <x:v>Power-enable selector switch</x:v>
      </x:c>
      <x:c r="D55" s="10" t="n">
        <x:v>1</x:v>
      </x:c>
      <x:c r="E55" s="10" t="str">
        <x:v>SW1</x:v>
      </x:c>
      <x:c r="F55" s="10" t="str">
        <x:v>COMM/B/A contacts; A unconnected; physical model unspecified</x:v>
      </x:c>
      <x:c r="G55" s="10" t="str">
        <x:v>Boost enable; not whole-power isolation
Schematic page 1: SW1 / power enable</x:v>
      </x:c>
      <x:c r="H55" s="10" t="str">
        <x:v>Confirm MPN,type,actuator/travel,ratings and opening</x:v>
      </x:c>
      <x:c r="I55" s="10" t="str"/>
      <x:c r="J55" s="14" t="n">
        <x:v>15</x:v>
      </x:c>
      <x:c r="K55" s="12" t="n">
        <x:f>IF(AND(ISNUMBER(J55),J55&gt;=0,ISNUMBER(Summary!$F$5),Summary!$F$5&gt;0),J55/Summary!$F$5,"")</x:f>
        <x:v>0.47162395849709166</x:v>
      </x:c>
      <x:c r="L55" s="12" t="n">
        <x:f>IF(AND(ISNUMBER(J55),J55&gt;=0,ISNUMBER(D55),D55&gt;=0),J55*D55,"")</x:f>
        <x:v>15</x:v>
      </x:c>
      <x:c r="M55" s="12" t="n">
        <x:f>IF(AND(ISNUMBER(K55),ISNUMBER(D55),D55&gt;=0),K55*D55,"")</x:f>
        <x:v>0.47162395849709166</x:v>
      </x:c>
      <x:c r="N55" s="10" t="str">
        <x:v>Allowance</x:v>
      </x:c>
      <x:c r="O55" s="10" t="str">
        <x:v>vendor_BOM row 51;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6" ht="138" customHeight="1">
      <x:c r="A56" s="10" t="n">
        <x:v>52</x:v>
      </x:c>
      <x:c r="B56" s="10" t="str">
        <x:v>SW2,SW3</x:v>
      </x:c>
      <x:c r="C56" s="10" t="str">
        <x:v>Tactile pushbutton</x:v>
      </x:c>
      <x:c r="D56" s="10" t="n">
        <x:v>2</x:v>
      </x:c>
      <x:c r="E56" s="10" t="str">
        <x:v>Tactile_Switch</x:v>
      </x:c>
      <x:c r="F56" s="10" t="str">
        <x:v>SW2/SW3 tactile buttons; ground signal when pressed</x:v>
      </x:c>
      <x:c r="G56" s="10" t="str">
        <x:v>SW2 reset; SW3 download mode
Schematic page 2: ESP32</x:v>
      </x:c>
      <x:c r="H56" s="10" t="str">
        <x:v>Confirm MPN,package/height,actuation force and contact ratings</x:v>
      </x:c>
      <x:c r="I56" s="10" t="str"/>
      <x:c r="J56" s="14" t="n">
        <x:v>5</x:v>
      </x:c>
      <x:c r="K56" s="12" t="n">
        <x:f>IF(AND(ISNUMBER(J56),J56&gt;=0,ISNUMBER(Summary!$F$5),Summary!$F$5&gt;0),J56/Summary!$F$5,"")</x:f>
        <x:v>0.15720798616569723</x:v>
      </x:c>
      <x:c r="L56" s="12" t="n">
        <x:f>IF(AND(ISNUMBER(J56),J56&gt;=0,ISNUMBER(D56),D56&gt;=0),J56*D56,"")</x:f>
        <x:v>10</x:v>
      </x:c>
      <x:c r="M56" s="12" t="n">
        <x:f>IF(AND(ISNUMBER(K56),ISNUMBER(D56),D56&gt;=0),K56*D56,"")</x:f>
        <x:v>0.31441597233139446</x:v>
      </x:c>
      <x:c r="N56" s="10" t="str">
        <x:v>Allowance</x:v>
      </x:c>
      <x:c r="O56" s="10" t="str">
        <x:v>vendor_BOM row 52;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7" ht="108" customHeight="1">
      <x:c r="A57" s="10" t="n">
        <x:v>53</x:v>
      </x:c>
      <x:c r="B57" s="10" t="str">
        <x:v>U1</x:v>
      </x:c>
      <x:c r="C57" s="10" t="str">
        <x:v>Synchronous boost converter</x:v>
      </x:c>
      <x:c r="D57" s="10" t="n">
        <x:v>1</x:v>
      </x:c>
      <x:c r="E57" s="10" t="str">
        <x:v>TPS61023</x:v>
      </x:c>
      <x:c r="F57" s="10" t="str">
        <x:v>TPS61023; synchronous boost; 6-pin SOT-563(DRL)</x:v>
      </x:c>
      <x:c r="G57" s="10" t="str">
        <x:v>Boosts system/battery supply to the rail labelled 5V
Schematic page 1: U1 boost supply</x:v>
      </x:c>
      <x:c r="H57" s="10" t="str">
        <x:v>Confirm ordering suffix/external values;5V/fan margin unverified</x:v>
      </x:c>
      <x:c r="I57" s="10" t="str"/>
      <x:c r="J57" s="14" t="n">
        <x:v>52</x:v>
      </x:c>
      <x:c r="K57" s="12" t="n">
        <x:f>IF(AND(ISNUMBER(J57),J57&gt;=0,ISNUMBER(Summary!$F$5),Summary!$F$5&gt;0),J57/Summary!$F$5,"")</x:f>
        <x:v>1.634963056123251</x:v>
      </x:c>
      <x:c r="L57" s="12" t="n">
        <x:f>IF(AND(ISNUMBER(J57),J57&gt;=0,ISNUMBER(D57),D57&gt;=0),J57*D57,"")</x:f>
        <x:v>52</x:v>
      </x:c>
      <x:c r="M57" s="12" t="n">
        <x:f>IF(AND(ISNUMBER(K57),ISNUMBER(D57),D57&gt;=0),K57*D57,"")</x:f>
        <x:v>1.634963056123251</x:v>
      </x:c>
      <x:c r="N57" s="10" t="str">
        <x:v>Proxy</x:v>
      </x:c>
      <x:c r="O57" s="10" t="str">
        <x:v>vendor_BOM row 53; schematic; TI_TPS61023
Search results list TPS61023DRLT cut tape NTD 52. Packaging-suffix proxy for vendor TPS61023; exact order code requires confirmation.
https://www.digikey.tw/en/products/detail/texas-instruments/TPS61023DRLR/11310629</x:v>
      </x:c>
    </x:row>
    <x:row r="58" ht="93" customHeight="1">
      <x:c r="A58" s="10" t="n">
        <x:v>54</x:v>
      </x:c>
      <x:c r="B58" s="10" t="str">
        <x:v>U2</x:v>
      </x:c>
      <x:c r="C58" s="10" t="str">
        <x:v>Single-cell lithium charger / power-path IC</x:v>
      </x:c>
      <x:c r="D58" s="10" t="n">
        <x:v>1</x:v>
      </x:c>
      <x:c r="E58" s="10" t="str">
        <x:v>BQ24074</x:v>
      </x:c>
      <x:c r="F58" s="10" t="str">
        <x:v>BQ24074; single-cell Li-ion/Li-poly, 4.2V charging; 16-pin VQFN(RGT)</x:v>
      </x:c>
      <x:c r="G58" s="10" t="str">
        <x:v>Single-cell charging and system power path
Schematic page 1: U2 charger / power path</x:v>
      </x:c>
      <x:c r="H58" s="10" t="str">
        <x:v>Confirm suffix,R1–R3/R9 and battery/thermal configuration</x:v>
      </x:c>
      <x:c r="I58" s="10" t="str"/>
      <x:c r="J58" s="14" t="n">
        <x:v>88</x:v>
      </x:c>
      <x:c r="K58" s="12" t="n">
        <x:f>IF(AND(ISNUMBER(J58),J58&gt;=0,ISNUMBER(Summary!$F$5),Summary!$F$5&gt;0),J58/Summary!$F$5,"")</x:f>
        <x:v>2.766860556516271</x:v>
      </x:c>
      <x:c r="L58" s="12" t="n">
        <x:f>IF(AND(ISNUMBER(J58),J58&gt;=0,ISNUMBER(D58),D58&gt;=0),J58*D58,"")</x:f>
        <x:v>88</x:v>
      </x:c>
      <x:c r="M58" s="12" t="n">
        <x:f>IF(AND(ISNUMBER(K58),ISNUMBER(D58),D58&gt;=0),K58*D58,"")</x:f>
        <x:v>2.766860556516271</x:v>
      </x:c>
      <x:c r="N58" s="10" t="str">
        <x:v>Proxy</x:v>
      </x:c>
      <x:c r="O58" s="10" t="str">
        <x:v>vendor_BOM row 54; schematic; TI_BQ24074
NTD 88 each at quantity 1; RGT package assumed from schematic.
https://www.digikey.tw/en/products/detail/texas-instruments/BQ24074RGTR/2047269</x:v>
      </x:c>
    </x:row>
    <x:row r="59" ht="138" customHeight="1">
      <x:c r="A59" s="10" t="n">
        <x:v>55</x:v>
      </x:c>
      <x:c r="B59" s="10" t="str">
        <x:v>U3</x:v>
      </x:c>
      <x:c r="C59" s="10" t="str">
        <x:v>Unidentified six-pin IC</x:v>
      </x:c>
      <x:c r="D59" s="10" t="n">
        <x:v>1</x:v>
      </x:c>
      <x:c r="E59" s="10" t="str"/>
      <x:c r="F59" s="10" t="str">
        <x:v>U3 only labelsP1–P6; model, pin functions, package unknown</x:v>
      </x:c>
      <x:c r="G59" s="10" t="str">
        <x:v>Connected to boost EN; exact function unknown
Schematic page 1: U3 power-control circuitry</x:v>
      </x:c>
      <x:c r="H59" s="10" t="str">
        <x:v>Vendor must identify model,function,package and external values</x:v>
      </x:c>
      <x:c r="I59" s="10" t="str"/>
      <x:c r="J59" s="14"/>
      <x:c r="K59" s="12" t="str">
        <x:f>IF(AND(ISNUMBER(J59),J59&gt;=0,ISNUMBER(Summary!$F$5),Summary!$F$5&gt;0),J59/Summary!$F$5,"")</x:f>
      </x:c>
      <x:c r="L59" s="12" t="str">
        <x:f>IF(AND(ISNUMBER(J59),J59&gt;=0,ISNUMBER(D59),D59&gt;=0),J59*D59,"")</x:f>
      </x:c>
      <x:c r="M59" s="12" t="str">
        <x:f>IF(AND(ISNUMBER(K59),ISNUMBER(D59),D59&gt;=0),K59*D59,"")</x:f>
      </x:c>
      <x:c r="N59" s="10" t="str">
        <x:v>Unidentified part</x:v>
      </x:c>
      <x:c r="O59" s="10" t="str">
        <x:v>vendor_BOM row 55;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60" ht="93" customHeight="1">
      <x:c r="A60" s="10" t="n">
        <x:v>56</x:v>
      </x:c>
      <x:c r="B60" s="10" t="str">
        <x:v>U4</x:v>
      </x:c>
      <x:c r="C60" s="10" t="str">
        <x:v>Wi-Fi / Bluetooth microcontroller module</x:v>
      </x:c>
      <x:c r="D60" s="10" t="n">
        <x:v>1</x:v>
      </x:c>
      <x:c r="E60" s="10" t="str">
        <x:v>ESP32-WROOM-32E</x:v>
      </x:c>
      <x:c r="F60" s="10" t="str">
        <x:v>ESP32-WROOM-32E; 2.4GHz wireless; 3.3V system; onboard antenna</x:v>
      </x:c>
      <x:c r="G60" s="10" t="str">
        <x:v>LED control, ADC readout and Wi-Fi
Schematic page 2: ESP32; preserve antenna clearance</x:v>
      </x:c>
      <x:c r="H60" s="10" t="str">
        <x:v>Confirm memory variant,antenna keepout and assembled height</x:v>
      </x:c>
      <x:c r="I60" s="10" t="str"/>
      <x:c r="J60" s="14" t="n">
        <x:v>181</x:v>
      </x:c>
      <x:c r="K60" s="12" t="n">
        <x:f>IF(AND(ISNUMBER(J60),J60&gt;=0,ISNUMBER(Summary!$F$5),Summary!$F$5&gt;0),J60/Summary!$F$5,"")</x:f>
        <x:v>5.6909290991982395</x:v>
      </x:c>
      <x:c r="L60" s="12" t="n">
        <x:f>IF(AND(ISNUMBER(J60),J60&gt;=0,ISNUMBER(D60),D60&gt;=0),J60*D60,"")</x:f>
        <x:v>181</x:v>
      </x:c>
      <x:c r="M60" s="12" t="n">
        <x:f>IF(AND(ISNUMBER(K60),ISNUMBER(D60),D60&gt;=0),K60*D60,"")</x:f>
        <x:v>5.6909290991982395</x:v>
      </x:c>
      <x:c r="N60" s="10" t="str">
        <x:v>Proxy</x:v>
      </x:c>
      <x:c r="O60" s="10" t="str">
        <x:v>vendor_BOM row 56; schematic; ESPRESSIF_32E
NTD 181 each. N4 is a price proxy; vendor flash suffix missing.
https://www.digikey.tw/en/products/detail/espressif-systems/ESP32-WROOM-32E-N4/11613125</x:v>
      </x:c>
    </x:row>
    <x:row r="61" ht="138" customHeight="1">
      <x:c r="A61" s="10" t="n">
        <x:v>57</x:v>
      </x:c>
      <x:c r="B61" s="10" t="str">
        <x:v>U5</x:v>
      </x:c>
      <x:c r="C61" s="10" t="str">
        <x:v>3.3 V digital-supply LDO</x:v>
      </x:c>
      <x:c r="D61" s="10" t="n">
        <x:v>1</x:v>
      </x:c>
      <x:c r="E61" s="10" t="str">
        <x:v>EC50117KBG</x:v>
      </x:c>
      <x:c r="F61" s="10" t="str">
        <x:v>EC50117KBG; fixed3.3V LDO; SOT-223</x:v>
      </x:c>
      <x:c r="G61" s="10" t="str">
        <x:v>5V to 3V3_DIG digital supply
Schematic page 2: 3V3 LDO</x:v>
      </x:c>
      <x:c r="H61" s="10" t="str">
        <x:v>Verify C17/C18,thermal design and available current</x:v>
      </x:c>
      <x:c r="I61" s="10" t="str"/>
      <x:c r="J61" s="14" t="n">
        <x:v>10</x:v>
      </x:c>
      <x:c r="K61" s="12" t="n">
        <x:f>IF(AND(ISNUMBER(J61),J61&gt;=0,ISNUMBER(Summary!$F$5),Summary!$F$5&gt;0),J61/Summary!$F$5,"")</x:f>
        <x:v>0.31441597233139446</x:v>
      </x:c>
      <x:c r="L61" s="12" t="n">
        <x:f>IF(AND(ISNUMBER(J61),J61&gt;=0,ISNUMBER(D61),D61&gt;=0),J61*D61,"")</x:f>
        <x:v>10</x:v>
      </x:c>
      <x:c r="M61" s="12" t="n">
        <x:f>IF(AND(ISNUMBER(K61),ISNUMBER(D61),D61&gt;=0),K61*D61,"")</x:f>
        <x:v>0.31441597233139446</x:v>
      </x:c>
      <x:c r="N61" s="10" t="str">
        <x:v>Allowance</x:v>
      </x:c>
      <x:c r="O61" s="10" t="str">
        <x:v>vendor_BOM row 57; schematic; ECMOS_EC50117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62" ht="78" customHeight="1">
      <x:c r="A62" s="10" t="n">
        <x:v>58</x:v>
      </x:c>
      <x:c r="B62" s="10" t="str">
        <x:v>U6</x:v>
      </x:c>
      <x:c r="C62" s="10" t="str">
        <x:v>3.3 V low-noise analog-supply LDO</x:v>
      </x:c>
      <x:c r="D62" s="10" t="n">
        <x:v>1</x:v>
      </x:c>
      <x:c r="E62" s="10" t="str">
        <x:v>LP5907MFX-3.3/NOPB</x:v>
      </x:c>
      <x:c r="F62" s="10" t="str">
        <x:v>LP5907MFX-3.3/NOPB; 3.3V/250mA LDO; SOT-23-5</x:v>
      </x:c>
      <x:c r="G62" s="10" t="str">
        <x:v>5V to 3V3_ANA analog supply
Schematic page 2: 3V3 LDO</x:v>
      </x:c>
      <x:c r="H62" s="10" t="str">
        <x:v>Verify C19/C20 effective capacitance,stability and thermal load</x:v>
      </x:c>
      <x:c r="I62" s="10" t="str"/>
      <x:c r="J62" s="14" t="n">
        <x:v>24</x:v>
      </x:c>
      <x:c r="K62" s="12" t="n">
        <x:f>IF(AND(ISNUMBER(J62),J62&gt;=0,ISNUMBER(Summary!$F$5),Summary!$F$5&gt;0),J62/Summary!$F$5,"")</x:f>
        <x:v>0.7545983335953467</x:v>
      </x:c>
      <x:c r="L62" s="12" t="n">
        <x:f>IF(AND(ISNUMBER(J62),J62&gt;=0,ISNUMBER(D62),D62&gt;=0),J62*D62,"")</x:f>
        <x:v>24</x:v>
      </x:c>
      <x:c r="M62" s="12" t="n">
        <x:f>IF(AND(ISNUMBER(K62),ISNUMBER(D62),D62&gt;=0),K62*D62,"")</x:f>
        <x:v>0.7545983335953467</x:v>
      </x:c>
      <x:c r="N62" s="10" t="str">
        <x:v>Listed</x:v>
      </x:c>
      <x:c r="O62" s="10" t="str">
        <x:v>vendor_BOM row 58; schematic; TI_LP5907
NTD 24 each at quantity 1.
https://www.digikey.tw/en/products/detail/texas-instruments/LP5907MFX-3-3-NOPB/3906441</x:v>
      </x:c>
    </x:row>
    <x:row r="63" ht="93" customHeight="1">
      <x:c r="A63" s="10" t="n">
        <x:v>59</x:v>
      </x:c>
      <x:c r="B63" s="10" t="str">
        <x:v>U7</x:v>
      </x:c>
      <x:c r="C63" s="10" t="str">
        <x:v>2.5 V precision voltage reference</x:v>
      </x:c>
      <x:c r="D63" s="10" t="n">
        <x:v>1</x:v>
      </x:c>
      <x:c r="E63" s="10" t="str">
        <x:v>LTC6655BHMS8-2.5#PBF</x:v>
      </x:c>
      <x:c r="F63" s="10" t="str">
        <x:v>LTC6655BHMS8-2.5#PBF; 2.5V reference; MSOP-8</x:v>
      </x:c>
      <x:c r="G63" s="10" t="str">
        <x:v>Provides the ADC 2.5V reference
Schematic page 2: 2V5_REF</x:v>
      </x:c>
      <x:c r="H63" s="10" t="str">
        <x:v>Verify C22/C23,layout and measured reference voltage</x:v>
      </x:c>
      <x:c r="I63" s="10" t="str"/>
      <x:c r="J63" s="14" t="n">
        <x:v>628</x:v>
      </x:c>
      <x:c r="K63" s="12" t="n">
        <x:f>IF(AND(ISNUMBER(J63),J63&gt;=0,ISNUMBER(Summary!$F$5),Summary!$F$5&gt;0),J63/Summary!$F$5,"")</x:f>
        <x:v>19.745323062411572</x:v>
      </x:c>
      <x:c r="L63" s="12" t="n">
        <x:f>IF(AND(ISNUMBER(J63),J63&gt;=0,ISNUMBER(D63),D63&gt;=0),J63*D63,"")</x:f>
        <x:v>628</x:v>
      </x:c>
      <x:c r="M63" s="12" t="n">
        <x:f>IF(AND(ISNUMBER(K63),ISNUMBER(D63),D63&gt;=0),K63*D63,"")</x:f>
        <x:v>19.745323062411572</x:v>
      </x:c>
      <x:c r="N63" s="10" t="str">
        <x:v>Proxy</x:v>
      </x:c>
      <x:c r="O63" s="10" t="str">
        <x:v>vendor_BOM row 59; schematic; ADI_LTC6655
NTD 628 for cut tape. Packaging proxy for #PBF; listed no stock.
https://www.digikey.tw/en/products/detail/analog-devices-inc/LTC6655BHMS8-2-5-TRPBF/2181717</x:v>
      </x:c>
    </x:row>
    <x:row r="64" ht="93" customHeight="1">
      <x:c r="A64" s="10" t="n">
        <x:v>60</x:v>
      </x:c>
      <x:c r="B64" s="10" t="str">
        <x:v>U8</x:v>
      </x:c>
      <x:c r="C64" s="10" t="str">
        <x:v>Low-input-bias operational amplifier</x:v>
      </x:c>
      <x:c r="D64" s="10" t="n">
        <x:v>1</x:v>
      </x:c>
      <x:c r="E64" s="10" t="str">
        <x:v>LMP7721</x:v>
      </x:c>
      <x:c r="F64" s="10" t="str">
        <x:v>LMP7721; low-bias amplifier; SOIC-8; 1.8–5.5V</x:v>
      </x:c>
      <x:c r="G64" s="10" t="str">
        <x:v>Converts PD photocurrent to voltage
Schematic page 2: TIA</x:v>
      </x:c>
      <x:c r="H64" s="10" t="str">
        <x:v>Confirm suffix,leakage/stability and output range</x:v>
      </x:c>
      <x:c r="I64" s="10" t="str"/>
      <x:c r="J64" s="14" t="n">
        <x:v>226</x:v>
      </x:c>
      <x:c r="K64" s="12" t="n">
        <x:f>IF(AND(ISNUMBER(J64),J64&gt;=0,ISNUMBER(Summary!$F$5),Summary!$F$5&gt;0),J64/Summary!$F$5,"")</x:f>
        <x:v>7.105800974689514</x:v>
      </x:c>
      <x:c r="L64" s="12" t="n">
        <x:f>IF(AND(ISNUMBER(J64),J64&gt;=0,ISNUMBER(D64),D64&gt;=0),J64*D64,"")</x:f>
        <x:v>226</x:v>
      </x:c>
      <x:c r="M64" s="12" t="n">
        <x:f>IF(AND(ISNUMBER(K64),ISNUMBER(D64),D64&gt;=0),K64*D64,"")</x:f>
        <x:v>7.105800974689514</x:v>
      </x:c>
      <x:c r="N64" s="10" t="str">
        <x:v>Proxy</x:v>
      </x:c>
      <x:c r="O64" s="10" t="str">
        <x:v>vendor_BOM row 60; schematic; TI_LMP7721
Search listing NTD 226 for MAX/NOPB. Vendor LMP7721 suffix missing; package proxy.
https://www.digikey.tw/en/products/filter/linear/amplifiers/instrumentation-op-amps-buffer-amps/687</x:v>
      </x:c>
    </x:row>
    <x:row r="65" ht="78" customHeight="1">
      <x:c r="A65" s="10" t="n">
        <x:v>61</x:v>
      </x:c>
      <x:c r="B65" s="10" t="str">
        <x:v>U9</x:v>
      </x:c>
      <x:c r="C65" s="10" t="str">
        <x:v>16-bit SAR analog-to-digital converter</x:v>
      </x:c>
      <x:c r="D65" s="10" t="n">
        <x:v>1</x:v>
      </x:c>
      <x:c r="E65" s="10" t="str">
        <x:v>ADS8866IDGS</x:v>
      </x:c>
      <x:c r="F65" s="10" t="str">
        <x:v>ADS8866IDGS; 16-bit SAR, 100kSPS device limit; VSSOP-10</x:v>
      </x:c>
      <x:c r="G65" s="10" t="str">
        <x:v>Digitizes TIA voltage for ESP32
Schematic page 2: ADC</x:v>
      </x:c>
      <x:c r="H65" s="10" t="str">
        <x:v>Verify sampling timing,input settling,decoupling and measured noise</x:v>
      </x:c>
      <x:c r="I65" s="10" t="str"/>
      <x:c r="J65" s="14" t="n">
        <x:v>306</x:v>
      </x:c>
      <x:c r="K65" s="12" t="n">
        <x:f>IF(AND(ISNUMBER(J65),J65&gt;=0,ISNUMBER(Summary!$F$5),Summary!$F$5&gt;0),J65/Summary!$F$5,"")</x:f>
        <x:v>9.62112875334067</x:v>
      </x:c>
      <x:c r="L65" s="12" t="n">
        <x:f>IF(AND(ISNUMBER(J65),J65&gt;=0,ISNUMBER(D65),D65&gt;=0),J65*D65,"")</x:f>
        <x:v>306</x:v>
      </x:c>
      <x:c r="M65" s="12" t="n">
        <x:f>IF(AND(ISNUMBER(K65),ISNUMBER(D65),D65&gt;=0),K65*D65,"")</x:f>
        <x:v>9.62112875334067</x:v>
      </x:c>
      <x:c r="N65" s="10" t="str">
        <x:v>Listed</x:v>
      </x:c>
      <x:c r="O65" s="10" t="str">
        <x:v>vendor_BOM row 61; schematic; TI_ADS8866
NTD 306 each at quantity 1.
https://www.digikey.tw/zh/products/detail/texas-instruments/ADS8866IDGS/5176196</x:v>
      </x:c>
    </x:row>
    <x:row r="66" ht="2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 ht="28" customHeight="1">
      <x:c r="A68" s="2"/>
      <x:c r="B68" s="2"/>
      <x:c r="C68" s="2"/>
      <x:c r="D68" s="2"/>
      <x:c r="E68" s="2"/>
      <x:c r="F68" s="2"/>
      <x:c r="G68" s="2" t="str">
        <x:v>Priced materials only; U3, fabrication and assembly excluded.</x:v>
      </x:c>
      <x:c r="H68" s="2"/>
      <x:c r="I68" s="2"/>
      <x:c r="J68" s="2"/>
      <x:c r="K68" s="2"/>
      <x:c r="L68" s="13" t="n">
        <x:f>SUM(L5:L65)</x:f>
        <x:v>1954</x:v>
      </x:c>
      <x:c r="M68" s="13" t="n">
        <x:f>SUM(M5:M65)</x:f>
        <x:v>61.436880993554496</x:v>
      </x:c>
      <x:c r="N68" s="2"/>
      <x:c r="O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 ht="2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 ht="2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 ht="2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 ht="2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 ht="2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 ht="2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 ht="2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 ht="2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 ht="2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 ht="2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 ht="2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 ht="2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 ht="2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 ht="2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 ht="2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 ht="2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 ht="2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 ht="2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 ht="2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 ht="2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 ht="2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 ht="2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 ht="2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 ht="2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 ht="2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 ht="28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 ht="2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 ht="2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 ht="28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 ht="2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 ht="2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 ht="2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 ht="2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 ht="2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 ht="2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 ht="2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 ht="2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 ht="2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 ht="2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 ht="2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 ht="2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 ht="2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 ht="2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 ht="2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5" hidden="0" customWidth="1"/>
    <x:col min="5" max="5" width="17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19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Three print batches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4" t="str">
        <x:v>Recalculated from cost.md. No duplicate resin charge.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48" customHeight="1">
      <x:c r="A4" s="8" t="str">
        <x:v>Batch</x:v>
      </x:c>
      <x:c r="B4" s="8" t="str">
        <x:v>Included IDs</x:v>
      </x:c>
      <x:c r="C4" s="8" t="str">
        <x:v>min</x:v>
      </x:c>
      <x:c r="D4" s="8" t="str">
        <x:v>h</x:v>
      </x:c>
      <x:c r="E4" s="8" t="str">
        <x:v>mL</x:v>
      </x:c>
      <x:c r="F4" s="8" t="str">
        <x:v>g</x:v>
      </x:c>
      <x:c r="G4" s="8" t="str">
        <x:v>Source resin NTD</x:v>
      </x:c>
      <x:c r="H4" s="8" t="str">
        <x:v>Resin term NTD</x:v>
      </x:c>
      <x:c r="I4" s="8" t="str">
        <x:v>Time term NTD</x:v>
      </x:c>
      <x:c r="J4" s="8" t="str">
        <x:v>Fixed term NTD</x:v>
      </x:c>
      <x:c r="K4" s="8" t="str">
        <x:v>Total NTD</x:v>
      </x:c>
      <x:c r="L4" s="8" t="str">
        <x:v>Total USD</x:v>
      </x:c>
    </x:row>
    <x:row r="5" ht="42" customHeight="1">
      <x:c r="A5" s="10" t="str">
        <x:v>P1</x:v>
      </x:c>
      <x:c r="B5" s="10" t="str">
        <x:v>01</x:v>
      </x:c>
      <x:c r="C5" s="10" t="n">
        <x:v>1055</x:v>
      </x:c>
      <x:c r="D5" s="10" t="n">
        <x:f>IF(AND(ISNUMBER(C5),C5&gt;=0),C5/60,"")</x:f>
        <x:v>17.583333333333332</x:v>
      </x:c>
      <x:c r="E5" s="10" t="n">
        <x:v>107.531</x:v>
      </x:c>
      <x:c r="F5" s="10" t="n">
        <x:v>118.285</x:v>
      </x:c>
      <x:c r="G5" s="12" t="n">
        <x:v>260.226</x:v>
      </x:c>
      <x:c r="H5" s="12" t="n">
        <x:f>IF(AND(ISNUMBER(G5),G5&gt;=0,ISNUMBER($B$14),$B$14&gt;=0),G5*$B$14,"")</x:f>
        <x:v>286.2486</x:v>
      </x:c>
      <x:c r="I5" s="12" t="n">
        <x:f>IF(AND(ISNUMBER(D5),ISNUMBER($B$15),$B$15&gt;=0),D5*$B$15,"")</x:f>
        <x:v>126.51208333333334</x:v>
      </x:c>
      <x:c r="J5" s="12" t="n">
        <x:f>IF(AND(ISNUMBER($B$13),$B$13&gt;=0),$B$13,"")</x:f>
        <x:v>25</x:v>
      </x:c>
      <x:c r="K5" s="12" t="n">
        <x:f>IF(AND(COUNT(H5:J5)=3,ISNUMBER($B$12),$B$12&gt;=0),$B$12*SUM(H5:J5),"")</x:f>
        <x:v>525.31282</x:v>
      </x:c>
      <x:c r="L5" s="12" t="n">
        <x:f>IF(AND(ISNUMBER(K5),ISNUMBER(Summary!$F$5),Summary!$F$5&gt;0),K5/Summary!$F$5,"")</x:f>
        <x:v>16.51667410784468</x:v>
      </x:c>
    </x:row>
    <x:row r="6" ht="42" customHeight="1">
      <x:c r="A6" s="10" t="str">
        <x:v>P2</x:v>
      </x:c>
      <x:c r="B6" s="10" t="str">
        <x:v>02 + 03 + 08</x:v>
      </x:c>
      <x:c r="C6" s="10" t="n">
        <x:v>979</x:v>
      </x:c>
      <x:c r="D6" s="10" t="n">
        <x:f>IF(AND(ISNUMBER(C6),C6&gt;=0),C6/60,"")</x:f>
        <x:v>16.316666666666666</x:v>
      </x:c>
      <x:c r="E6" s="10" t="n">
        <x:v>114.027</x:v>
      </x:c>
      <x:c r="F6" s="10" t="n">
        <x:v>125.43</x:v>
      </x:c>
      <x:c r="G6" s="12" t="n">
        <x:v>275.945</x:v>
      </x:c>
      <x:c r="H6" s="12" t="n">
        <x:f>IF(AND(ISNUMBER(G6),G6&gt;=0,ISNUMBER($B$14),$B$14&gt;=0),G6*$B$14,"")</x:f>
        <x:v>303.53950000000003</x:v>
      </x:c>
      <x:c r="I6" s="12" t="n">
        <x:f>IF(AND(ISNUMBER(D6),ISNUMBER($B$15),$B$15&gt;=0),D6*$B$15,"")</x:f>
        <x:v>117.39841666666668</x:v>
      </x:c>
      <x:c r="J6" s="12" t="n">
        <x:f>IF(AND(ISNUMBER($B$13),$B$13&gt;=0),$B$13,"")</x:f>
        <x:v>25</x:v>
      </x:c>
      <x:c r="K6" s="12" t="n">
        <x:f>IF(AND(COUNT(H6:J6)=3,ISNUMBER($B$12),$B$12&gt;=0),$B$12*SUM(H6:J6),"")</x:f>
        <x:v>535.1255</x:v>
      </x:c>
      <x:c r="L6" s="12" t="n">
        <x:f>IF(AND(ISNUMBER(K6),ISNUMBER(Summary!$F$5),Summary!$F$5&gt;0),K6/Summary!$F$5,"")</x:f>
        <x:v>16.82520044018236</x:v>
      </x:c>
    </x:row>
    <x:row r="7" ht="42" customHeight="1">
      <x:c r="A7" s="10" t="str">
        <x:v>P3</x:v>
      </x:c>
      <x:c r="B7" s="10" t="str">
        <x:v>04 + 05 + 06 + 07</x:v>
      </x:c>
      <x:c r="C7" s="10" t="n">
        <x:v>162</x:v>
      </x:c>
      <x:c r="D7" s="10" t="n">
        <x:f>IF(AND(ISNUMBER(C7),C7&gt;=0),C7/60,"")</x:f>
        <x:v>2.7</x:v>
      </x:c>
      <x:c r="E7" s="10" t="n">
        <x:v>1.198</x:v>
      </x:c>
      <x:c r="F7" s="10" t="n">
        <x:v>1.318</x:v>
      </x:c>
      <x:c r="G7" s="12" t="n">
        <x:v>1.239</x:v>
      </x:c>
      <x:c r="H7" s="12" t="n">
        <x:f>IF(AND(ISNUMBER(G7),G7&gt;=0,ISNUMBER($B$14),$B$14&gt;=0),G7*$B$14,"")</x:f>
        <x:v>1.3629000000000002</x:v>
      </x:c>
      <x:c r="I7" s="12" t="n">
        <x:f>IF(AND(ISNUMBER(D7),ISNUMBER($B$15),$B$15&gt;=0),D7*$B$15,"")</x:f>
        <x:v>19.4265</x:v>
      </x:c>
      <x:c r="J7" s="12" t="n">
        <x:f>IF(AND(ISNUMBER($B$13),$B$13&gt;=0),$B$13,"")</x:f>
        <x:v>25</x:v>
      </x:c>
      <x:c r="K7" s="12" t="n">
        <x:f>IF(AND(COUNT(H7:J7)=3,ISNUMBER($B$12),$B$12&gt;=0),$B$12*SUM(H7:J7),"")</x:f>
        <x:v>54.94728</x:v>
      </x:c>
      <x:c r="L7" s="12" t="n">
        <x:f>IF(AND(ISNUMBER(K7),ISNUMBER(Summary!$F$5),Summary!$F$5&gt;0),K7/Summary!$F$5,"")</x:f>
        <x:v>1.7276302468165383</x:v>
      </x:c>
    </x:row>
    <x:row r="8" ht="28" customHeight="1">
      <x:c r="A8" s="2" t="str">
        <x:v>Total</x:v>
      </x:c>
      <x:c r="B8" s="2"/>
      <x:c r="C8" s="2" t="n">
        <x:f>IF(COUNT(C5:C7)=3,SUM(C5:C7),"")</x:f>
        <x:v>2196</x:v>
      </x:c>
      <x:c r="D8" s="2" t="n">
        <x:f>IF(COUNT(D5:D7)=3,SUM(D5:D7),"")</x:f>
        <x:v>36.6</x:v>
      </x:c>
      <x:c r="E8" s="2" t="n">
        <x:f>IF(COUNT(E5:E7)=3,SUM(E5:E7),"")</x:f>
        <x:v>222.756</x:v>
      </x:c>
      <x:c r="F8" s="2" t="n">
        <x:f>IF(COUNT(F5:F7)=3,SUM(F5:F7),"")</x:f>
        <x:v>245.03300000000002</x:v>
      </x:c>
      <x:c r="G8" s="13" t="n">
        <x:f>IF(COUNT(G5:G7)=3,SUM(G5:G7),"")</x:f>
        <x:v>537.4100000000001</x:v>
      </x:c>
      <x:c r="H8" s="13" t="n">
        <x:f>IF(COUNT(H5:H7)=3,SUM(H5:H7),"")</x:f>
        <x:v>591.151</x:v>
      </x:c>
      <x:c r="I8" s="13" t="n">
        <x:f>IF(COUNT(I5:I7)=3,SUM(I5:I7),"")</x:f>
        <x:v>263.337</x:v>
      </x:c>
      <x:c r="J8" s="13" t="n">
        <x:f>IF(COUNT(J5:J7)=3,SUM(J5:J7),"")</x:f>
        <x:v>75</x:v>
      </x:c>
      <x:c r="K8" s="13" t="n">
        <x:f>IF(COUNT(K5:K7)=3,SUM(K5:K7),"")</x:f>
        <x:v>1115.3856</x:v>
      </x:c>
      <x:c r="L8" s="13" t="n">
        <x:f>IF(COUNT(L5:L7)=3,SUM(L5:L7),"")</x:f>
        <x:v>35.069504794843574</x:v>
      </x:c>
    </x:row>
    <x:row r="9" ht="28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8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8" customHeight="1">
      <x:c r="A11" s="2" t="str">
        <x:v>Coefficient</x:v>
      </x:c>
      <x:c r="B11" s="2" t="str">
        <x:v>Value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8" customHeight="1">
      <x:c r="A12" s="2" t="str">
        <x:v>Outer</x:v>
      </x:c>
      <x:c r="B12" s="9" t="n">
        <x:v>1.2</x:v>
      </x:c>
      <x:c r="C12" s="2"/>
      <x:c r="D12" s="2" t="str">
        <x:v>1.2 × (25 + source resin × 1.1 + minutes/60 × 7.195)</x:v>
      </x:c>
      <x:c r="E12" s="2"/>
      <x:c r="F12" s="2"/>
      <x:c r="G12" s="2"/>
      <x:c r="H12" s="2"/>
      <x:c r="I12" s="2"/>
      <x:c r="J12" s="2"/>
      <x:c r="K12" s="2"/>
      <x:c r="L12" s="2"/>
    </x:row>
    <x:row r="13" ht="28" customHeight="1">
      <x:c r="A13" s="2" t="str">
        <x:v>Fixed NTD</x:v>
      </x:c>
      <x:c r="B13" s="9" t="n">
        <x:v>25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8" customHeight="1">
      <x:c r="A14" s="2" t="str">
        <x:v>Resin multiplier</x:v>
      </x:c>
      <x:c r="B14" s="9" t="n">
        <x:v>1.1</x:v>
      </x:c>
      <x:c r="C14" s="2"/>
      <x:c r="D14" s="2" t="str">
        <x:v>P2 and P3 are combined batches. No invented per-part prices. cost.md is unchanged.</x:v>
      </x:c>
      <x:c r="E14" s="2"/>
      <x:c r="F14" s="2"/>
      <x:c r="G14" s="2"/>
      <x:c r="H14" s="2"/>
      <x:c r="I14" s="2"/>
      <x:c r="J14" s="2"/>
      <x:c r="K14" s="2"/>
      <x:c r="L14" s="2"/>
    </x:row>
    <x:row r="15" ht="28" customHeight="1">
      <x:c r="A15" s="2" t="str">
        <x:v>Time NTD/h</x:v>
      </x:c>
      <x:c r="B15" s="9" t="n">
        <x:v>7.195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2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2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2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8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8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2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2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2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2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2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2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2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2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2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</x:sheetData>
  <x:pageMargins left="0.7" right="0.7" top="0.75" bottom="0.75" header="0.3" footer="0.3"/>
</x:worksheet>
</file>