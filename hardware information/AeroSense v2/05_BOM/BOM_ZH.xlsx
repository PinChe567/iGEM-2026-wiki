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106773f1e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7e9c86e15f4b48"/>
    <x:sheet xmlns:r="http://schemas.openxmlformats.org/officeDocument/2006/relationships" name="Printed" sheetId="2" r:id="Rdd33a48358a34474"/>
    <x:sheet xmlns:r="http://schemas.openxmlformats.org/officeDocument/2006/relationships" name="Purchase" sheetId="3" r:id="R23daecd220b64d0a"/>
    <x:sheet xmlns:r="http://schemas.openxmlformats.org/officeDocument/2006/relationships" name="PCB" sheetId="4" r:id="R4f7b0463448249b9"/>
    <x:sheet xmlns:r="http://schemas.openxmlformats.org/officeDocument/2006/relationships" name="Print_batches" sheetId="5" r:id="Rd7041de6576e4d15"/>
    <x:sheet xmlns:r="http://schemas.openxmlformats.org/officeDocument/2006/relationships" name="Notes" sheetId="6" r:id="R6ea0f7d293a7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8">
    <x:font>
      <x:sz val="11"/>
      <x:name val="Carlito"/>
    </x:font>
    <x:font>
      <x:sz val="10"/>
      <x:color rgb="FF243746"/>
      <x:name val="Microsoft JhengHei"/>
    </x:font>
    <x:font>
      <x:b/>
      <x:sz val="15"/>
      <x:color rgb="FF243746"/>
      <x:name val="Microsoft JhengHei"/>
    </x:font>
    <x:font>
      <x:sz val="9"/>
      <x:color rgb="FF637585"/>
      <x:name val="Microsoft JhengHei"/>
    </x:font>
    <x:font>
      <x:b/>
      <x:sz val="10"/>
      <x:color rgb="FFFFFFFF"/>
      <x:name val="Microsoft JhengHei"/>
    </x:font>
    <x:font>
      <x:b/>
      <x:sz val="10"/>
      <x:color rgb="FF243746"/>
      <x:name val="Microsoft JhengHei"/>
    </x:font>
    <x:font>
      <x:b/>
      <x:sz val="14"/>
      <x:color rgb="FF263D50"/>
      <x:name val="Microsoft JhengHei"/>
    </x:font>
    <x:font>
      <x:b/>
      <x:sz val="10"/>
      <x:color rgb="FF263D50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263D50"/>
      </x:patternFill>
    </x:fill>
    <x:fill>
      <x:patternFill patternType="solid">
        <x:fgColor rgb="FFFFF2CC"/>
      </x:patternFill>
    </x:fill>
    <x:fill>
      <x:patternFill patternType="solid">
        <x:fgColor rgb="FF263D50"/>
      </x:patternFill>
    </x:fill>
    <x:fill>
      <x:patternFill patternType="solid">
        <x:fgColor rgb="FFDFE8EE"/>
      </x:patternFill>
    </x:fill>
  </x:fills>
  <x:borders count="1">
    <x:border/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8cf8b96bc40d2" /><Relationship Type="http://schemas.openxmlformats.org/officeDocument/2006/relationships/theme" Target="/xl/theme/theme1.xml" Id="R5aa27ec949fb426d" /><Relationship Type="http://schemas.openxmlformats.org/officeDocument/2006/relationships/sharedStrings" Target="/xl/sharedStrings.xml" Id="R3cdea8ca9e38458e" /><Relationship Type="http://schemas.openxmlformats.org/officeDocument/2006/relationships/worksheet" Target="/xl/worksheets/sheet1.xml" Id="Re37e9c86e15f4b48" /><Relationship Type="http://schemas.openxmlformats.org/officeDocument/2006/relationships/worksheet" Target="/xl/worksheets/sheet2.xml" Id="Rdd33a48358a34474" /><Relationship Type="http://schemas.openxmlformats.org/officeDocument/2006/relationships/worksheet" Target="/xl/worksheets/sheet3.xml" Id="R23daecd220b64d0a" /><Relationship Type="http://schemas.openxmlformats.org/officeDocument/2006/relationships/worksheet" Target="/xl/worksheets/sheet4.xml" Id="R4f7b0463448249b9" /><Relationship Type="http://schemas.openxmlformats.org/officeDocument/2006/relationships/worksheet" Target="/xl/worksheets/sheet5.xml" Id="Rd7041de6576e4d15" /><Relationship Type="http://schemas.openxmlformats.org/officeDocument/2006/relationships/worksheet" Target="/xl/worksheets/sheet6.xml" Id="R6ea0f7d293a741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4" hidden="0" customWidth="1"/>
    <x:col min="5" max="5" width="38" hidden="0" customWidth="1"/>
    <x:col min="6" max="6" width="22" hidden="0" customWidth="1"/>
    <x:col min="7" max="7" width="4" hidden="0" customWidth="1"/>
    <x:col min="8" max="8" width="46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</x:row>
    <x:row r="2" ht="28" customHeight="1">
      <x:c r="A2" s="3" t="str">
        <x:v>AeroSense 材料與成本總覽</x:v>
      </x:c>
      <x:c r="B2" s="2"/>
      <x:c r="C2" s="2"/>
      <x:c r="D2" s="2"/>
      <x:c r="E2" s="2"/>
      <x:c r="F2" s="2"/>
      <x:c r="G2" s="2"/>
      <x:c r="H2" s="2"/>
    </x:row>
    <x:row r="3" ht="28" customHeight="1">
      <x:c r="A3" s="4" t="str">
        <x:v>雙幣別估算；售價、替代估價、預留額分開標示。</x:v>
      </x:c>
      <x:c r="B3" s="2"/>
      <x:c r="C3" s="2"/>
      <x:c r="D3" s="2"/>
      <x:c r="E3" s="2"/>
      <x:c r="F3" s="2"/>
      <x:c r="G3" s="2"/>
      <x:c r="H3" s="2"/>
    </x:row>
    <x:row r="4" ht="48" customHeight="1">
      <x:c r="A4" s="8" t="str">
        <x:v>項目</x:v>
      </x:c>
      <x:c r="B4" s="8" t="str">
        <x:v>NTD</x:v>
      </x:c>
      <x:c r="C4" s="8" t="str">
        <x:v>USD</x:v>
      </x:c>
      <x:c r="D4" s="2"/>
      <x:c r="E4" s="10" t="str">
        <x:v>輸入</x:v>
      </x:c>
      <x:c r="F4" s="10" t="str">
        <x:v>數值</x:v>
      </x:c>
      <x:c r="G4" s="2"/>
      <x:c r="H4" s="2"/>
    </x:row>
    <x:row r="5" ht="110" customHeight="1">
      <x:c r="A5" s="10" t="str">
        <x:v>必要列印成本</x:v>
      </x:c>
      <x:c r="B5" s="12" t="n">
        <x:f>IF(ISNUMBER(Print_batches!K8),Print_batches!K8,"待確認")</x:f>
        <x:v>1115.3856</x:v>
      </x:c>
      <x:c r="C5" s="12" t="n">
        <x:f>IF(ISNUMBER(Print_batches!L8),Print_batches!L8,"待確認")</x:f>
        <x:v>35.069504794843574</x:v>
      </x:c>
      <x:c r="D5" s="2"/>
      <x:c r="E5" s="10" t="str">
        <x:v>NTD 每 USD</x:v>
      </x:c>
      <x:c r="F5" s="11" t="n">
        <x:v>31.805</x:v>
      </x:c>
      <x:c r="G5" s="2"/>
      <x:c r="H5" s="10" t="str">
        <x:v>2026-10-05 15:13 displayed snapshot: USD spot buy 31.705, sell 31.805. Budget conversion uses sell 31.805, not an October 8 live execution quote.
https://www.bot.com.tw/tw/personal-banking/foreign-exchange</x:v>
      </x:c>
    </x:row>
    <x:row r="6" ht="46" customHeight="1">
      <x:c r="A6" s="10" t="str">
        <x:v>必要外購用量成本</x:v>
      </x:c>
      <x:c r="B6" s="12" t="n">
        <x:f>IF(COUNTIFS(Purchase!G5:G30,"必要",Purchase!W5:W30,"OK")=COUNTIF(Purchase!G5:G30,"必要"),SUMIFS(Purchase!N5:N30,Purchase!G5:G30,"必要"),"待確認")</x:f>
        <x:v>13133.4052</x:v>
      </x:c>
      <x:c r="C6" s="12" t="n">
        <x:f>IF(COUNTIFS(Purchase!G5:G30,"必要",Purchase!W5:W30,"OK")=COUNTIF(Purchase!G5:G30,"必要"),SUMIFS(Purchase!O5:O30,Purchase!G5:G30,"必要"),"待確認")</x:f>
        <x:v>412.9352365980192</x:v>
      </x:c>
      <x:c r="D6" s="2"/>
      <x:c r="E6" s="10" t="str">
        <x:v>PCB 兩片報價 NTD</x:v>
      </x:c>
      <x:c r="F6" s="11" t="n">
        <x:v>131250</x:v>
      </x:c>
      <x:c r="G6" s="2"/>
      <x:c r="H6" s="2"/>
    </x:row>
    <x:row r="7" ht="46" customHeight="1">
      <x:c r="A7" s="15" t="str">
        <x:v>必要非 PCB 預算</x:v>
      </x:c>
      <x:c r="B7" s="16" t="n">
        <x:f>IF(COUNT(B5:B6)=2,SUM(B5:B6),"待確認")</x:f>
        <x:v>14248.790799999999</x:v>
      </x:c>
      <x:c r="C7" s="16" t="n">
        <x:f>IF(COUNT(C5:C6)=2,SUM(C5:C6),"待確認")</x:f>
        <x:v>448.00474139286274</x:v>
      </x:c>
      <x:c r="D7" s="2"/>
      <x:c r="E7" s="10" t="str">
        <x:v>報價片數</x:v>
      </x:c>
      <x:c r="F7" s="11" t="n">
        <x:v>2</x:v>
      </x:c>
      <x:c r="G7" s="2"/>
      <x:c r="H7" s="2"/>
    </x:row>
    <x:row r="8" ht="46" customHeight="1">
      <x:c r="A8" s="10" t="str">
        <x:v>PCB 本次單片分攤</x:v>
      </x:c>
      <x:c r="B8" s="12" t="n">
        <x:f>IF(AND(ISNUMBER($F$6),$F$6&gt;=0,ISNUMBER($F$7),$F$7&gt;0,ISNUMBER($F$5),$F$5&gt;0),$F$6/$F$7,"待確認")</x:f>
        <x:v>65625</x:v>
      </x:c>
      <x:c r="C8" s="12" t="n">
        <x:f>IF(AND(ISNUMBER($F$6),$F$6&gt;=0,ISNUMBER($F$7),$F$7&gt;0,ISNUMBER($F$5),$F$5&gt;0),$F$6/$F$7/$F$5,"待確認")</x:f>
        <x:v>2063.354818424776</x:v>
      </x:c>
      <x:c r="D8" s="2"/>
      <x:c r="E8" s="10" t="str">
        <x:v>匯率快照</x:v>
      </x:c>
      <x:c r="F8" s="10" t="str">
        <x:v>2026-10-05 15:13</x:v>
      </x:c>
      <x:c r="G8" s="2"/>
      <x:c r="H8" s="2"/>
    </x:row>
    <x:row r="9" ht="46" customHeight="1">
      <x:c r="A9" s="15" t="str">
        <x:v>必要單機預算</x:v>
      </x:c>
      <x:c r="B9" s="16" t="n">
        <x:f>IF(COUNT(B7:B8)=2,SUM(B7:B8),"待確認")</x:f>
        <x:v>79873.7908</x:v>
      </x:c>
      <x:c r="C9" s="16" t="n">
        <x:f>IF(COUNT(C7:C8)=2,SUM(C7:C8),"待確認")</x:f>
        <x:v>2511.359559817639</x:v>
      </x:c>
      <x:c r="D9" s="2"/>
      <x:c r="E9" s="2"/>
      <x:c r="F9" s="2"/>
      <x:c r="G9" s="2"/>
      <x:c r="H9" s="2"/>
    </x:row>
    <x:row r="10" ht="46" customHeight="1">
      <x:c r="A10" s="10" t="str">
        <x:v>必要外購新購整包額</x:v>
      </x:c>
      <x:c r="B10" s="12" t="n">
        <x:f>IF(COUNTIFS(Purchase!G5:G30,"必要",Purchase!W5:W30,"OK")=COUNTIF(Purchase!G5:G30,"必要"),SUMIFS(Purchase!Q5:Q30,Purchase!G5:G30,"必要"),"待確認")</x:f>
        <x:v>16300.4507</x:v>
      </x:c>
      <x:c r="C10" s="12" t="n">
        <x:f>IF(COUNTIFS(Purchase!G5:G30,"必要",Purchase!W5:W30,"OK")=COUNTIF(Purchase!G5:G30,"必要"),SUMIFS(Purchase!R5:R30,Purchase!G5:G30,"必要"),"待確認")</x:f>
        <x:v>512.5122056280459</x:v>
      </x:c>
      <x:c r="D10" s="2"/>
      <x:c r="E10" s="2"/>
      <x:c r="F10" s="2"/>
      <x:c r="G10" s="2"/>
      <x:c r="H10" s="2"/>
    </x:row>
    <x:row r="11" ht="60" customHeight="1">
      <x:c r="A11" s="10" t="str">
        <x:v>開發者設備用量預算</x:v>
      </x:c>
      <x:c r="B11" s="12" t="n">
        <x:f>IF(COUNTIFS(Purchase!G5:G30,"開發者購買",Purchase!W5:W30,"OK")=COUNTIF(Purchase!G5:G30,"開發者購買"),SUMIFS(Purchase!N5:N30,Purchase!G5:G30,"開發者購買"),"待確認")</x:f>
        <x:v>38612.18275</x:v>
      </x:c>
      <x:c r="C11" s="12" t="n">
        <x:f>IF(COUNTIFS(Purchase!G5:G30,"開發者購買",Purchase!W5:W30,"OK")=COUNTIF(Purchase!G5:G30,"開發者購買"),SUMIFS(Purchase!O5:O30,Purchase!G5:G30,"開發者購買"),"待確認")</x:f>
        <x:v>1214.0286983178744</x:v>
      </x:c>
      <x:c r="D11" s="2"/>
      <x:c r="E11" s="10" t="str">
        <x:v>必要：本機列印、PCB 及裝配材料。開發者購買：機外給氣、測試與燒錄設備，可借用。</x:v>
      </x:c>
      <x:c r="F11" s="2"/>
      <x:c r="G11" s="2"/>
      <x:c r="H11" s="2"/>
    </x:row>
    <x:row r="12" ht="46" customHeight="1">
      <x:c r="A12" s="10" t="str">
        <x:v>開發者新購整包額</x:v>
      </x:c>
      <x:c r="B12" s="12" t="n">
        <x:f>IF(COUNTIFS(Purchase!G5:G30,"開發者購買",Purchase!W5:W30,"OK")=COUNTIF(Purchase!G5:G30,"開發者購買"),SUMIFS(Purchase!Q5:Q30,Purchase!G5:G30,"開發者購買"),"待確認")</x:f>
        <x:v>38612.18275</x:v>
      </x:c>
      <x:c r="C12" s="12" t="n">
        <x:f>IF(COUNTIFS(Purchase!G5:G30,"開發者購買",Purchase!W5:W30,"OK")=COUNTIF(Purchase!G5:G30,"開發者購買"),SUMIFS(Purchase!R5:R30,Purchase!G5:G30,"開發者購買"),"待確認")</x:f>
        <x:v>1214.0286983178744</x:v>
      </x:c>
      <x:c r="D12" s="2"/>
      <x:c r="E12" s="2"/>
      <x:c r="F12" s="2"/>
      <x:c r="G12" s="2"/>
      <x:c r="H12" s="2"/>
    </x:row>
    <x:row r="13" ht="60" customHeight="1">
      <x:c r="A13" s="10" t="str">
        <x:v>未來展望用量預算</x:v>
      </x:c>
      <x:c r="B13" s="12" t="n">
        <x:f>IF(COUNTIFS(Purchase!G5:G30,"未來展望",Purchase!W5:W30,"OK")=COUNTIF(Purchase!G5:G30,"未來展望"),SUMIFS(Purchase!N5:N30,Purchase!G5:G30,"未來展望"),"待確認")</x:f>
        <x:v>7500</x:v>
      </x:c>
      <x:c r="C13" s="12" t="n">
        <x:f>IF(COUNTIFS(Purchase!G5:G30,"未來展望",Purchase!W5:W30,"OK")=COUNTIF(Purchase!G5:G30,"未來展望"),SUMIFS(Purchase!O5:O30,Purchase!G5:G30,"未來展望"),"待確認")</x:f>
        <x:v>235.8119792485458</x:v>
      </x:c>
      <x:c r="D13" s="2"/>
      <x:c r="E13" s="10" t="str">
        <x:v>L01 給氣與 L04 流量量測仍是實驗需要的能力，不因列為開發者設備就可省略。</x:v>
      </x:c>
      <x:c r="F13" s="2"/>
      <x:c r="G13" s="2"/>
      <x:c r="H13" s="2"/>
    </x:row>
    <x:row r="14" ht="46" customHeight="1">
      <x:c r="A14" s="10" t="str">
        <x:v>PCB 已列材料小計</x:v>
      </x:c>
      <x:c r="B14" s="12" t="n">
        <x:f>PCB!L68</x:f>
        <x:v>1954</x:v>
      </x:c>
      <x:c r="C14" s="12" t="n">
        <x:f>PCB!M68</x:f>
        <x:v>61.436880993554496</x:v>
      </x:c>
      <x:c r="D14" s="2"/>
      <x:c r="E14" s="2"/>
      <x:c r="F14" s="2"/>
      <x:c r="G14" s="2"/>
      <x:c r="H14" s="2"/>
    </x:row>
    <x:row r="15" ht="60" customHeight="1">
      <x:c r="A15" s="10" t="str">
        <x:v>PCB 無法估價列數</x:v>
      </x:c>
      <x:c r="B15" s="10" t="n">
        <x:f>ROWS(PCB!J5:J65)-COUNT(PCB!J5:J65)</x:f>
        <x:v>1</x:v>
      </x:c>
      <x:c r="C15" s="10" t="n">
        <x:f>ROWS(PCB!J5:J65)-COUNT(PCB!J5:J65)</x:f>
        <x:v>1</x:v>
      </x:c>
      <x:c r="D15" s="2"/>
      <x:c r="E15" s="10" t="str">
        <x:v>未來展望不加入本次預算。PDMS、氣閥、環境感測尚未整合。</x:v>
      </x:c>
      <x:c r="F15" s="2"/>
      <x:c r="G15" s="2"/>
      <x:c r="H15" s="2"/>
    </x:row>
    <x:row r="16" ht="74" customHeight="1">
      <x:c r="A16" s="15" t="str">
        <x:v>已確認可下單總價</x:v>
      </x:c>
      <x:c r="B16" s="15" t="str">
        <x:v>客製濾片等尚待確認</x:v>
      </x:c>
      <x:c r="C16" s="15" t="str">
        <x:v>客製濾片等尚待確認</x:v>
      </x:c>
      <x:c r="D16" s="2"/>
      <x:c r="E16" s="2"/>
      <x:c r="F16" s="2"/>
      <x:c r="G16" s="2"/>
      <x:c r="H16" s="2"/>
    </x:row>
    <x:row r="17" ht="60" customHeight="1">
      <x:c r="A17" s="2"/>
      <x:c r="B17" s="2"/>
      <x:c r="C17" s="2"/>
      <x:c r="D17" s="2"/>
      <x:c r="E17" s="10" t="str">
        <x:v>Listed＝查到的商品價；Proxy＝有規格差異的參考；Allowance＝工程預留額，不是假稱查到售價。</x:v>
      </x:c>
      <x:c r="F17" s="2"/>
      <x:c r="G17" s="2"/>
      <x:c r="H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</x:row>
    <x:row r="19" ht="60" customHeight="1">
      <x:c r="A19" s="2"/>
      <x:c r="B19" s="2"/>
      <x:c r="C19" s="2"/>
      <x:c r="D19" s="2"/>
      <x:c r="E19" s="10" t="str">
        <x:v>單機含 12,000 NTD 客製濾片預留。參考的 12.5 mm 濾片太大且太厚，不能直接買來裝。</x:v>
      </x:c>
      <x:c r="F19" s="2"/>
      <x:c r="G19" s="2"/>
      <x:c r="H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</x:row>
    <x:row r="21" ht="60" customHeight="1">
      <x:c r="A21" s="2"/>
      <x:c r="B21" s="2"/>
      <x:c r="C21" s="2"/>
      <x:c r="D21" s="2"/>
      <x:c r="E21" s="10" t="str">
        <x:v>用量與整包額分開。濾器只用兩個，但參考品每盒 100 個。已持有量預設 0。</x:v>
      </x:c>
      <x:c r="F21" s="2"/>
      <x:c r="G21" s="2"/>
      <x:c r="H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</x:row>
    <x:row r="23" ht="60" customHeight="1">
      <x:c r="A23" s="2"/>
      <x:c r="B23" s="2"/>
      <x:c r="C23" s="2"/>
      <x:c r="D23" s="2"/>
      <x:c r="E23" s="10" t="str">
        <x:v>PCB 131,250 NTD／兩片含設計與開機；65,625 是分攤，不是量產價格。零件小計不得再加。</x:v>
      </x:c>
      <x:c r="F23" s="2"/>
      <x:c r="G23" s="2"/>
      <x:c r="H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</x:row>
    <x:row r="25" ht="60" customHeight="1">
      <x:c r="A25" s="2"/>
      <x:c r="B25" s="2"/>
      <x:c r="C25" s="2"/>
      <x:c r="D25" s="2"/>
      <x:c r="E25" s="10" t="str">
        <x:v>未含運費、額外稅金、未列人工、失敗重印、细胞培養或既有大型設備重購。</x:v>
      </x:c>
      <x:c r="F25" s="2"/>
      <x:c r="G25" s="2"/>
      <x:c r="H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</x:row>
  </x:sheetData>
  <x:mergeCells>
    <x:mergeCell ref="E11:H11"/>
    <x:mergeCell ref="E13:H13"/>
    <x:mergeCell ref="E15:H15"/>
    <x:mergeCell ref="E17:H17"/>
    <x:mergeCell ref="E19:H19"/>
    <x:mergeCell ref="E21:H21"/>
    <x:mergeCell ref="E23:H23"/>
    <x:mergeCell ref="E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7" hidden="0" customWidth="1"/>
    <x:col min="4" max="4" width="24" hidden="0" customWidth="1"/>
    <x:col min="5" max="5" width="52" hidden="0" customWidth="1"/>
    <x:col min="6" max="6" width="26" hidden="0" customWidth="1"/>
    <x:col min="7" max="7" width="38" hidden="0" customWidth="1"/>
    <x:col min="8" max="8" width="10" hidden="0" customWidth="1"/>
    <x:col min="9" max="9" width="4" hidden="0" customWidth="1"/>
    <x:col min="10" max="10" width="50" hidden="0" customWidth="1"/>
    <x:col min="11" max="11" width="55" hidden="0" customWidth="1"/>
    <x:col min="12" max="12" width="15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八件列印件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4" t="str">
        <x:v>必要；每件印一件，批次成本只計一次。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8" customHeight="1">
      <x:c r="A4" s="8" t="str">
        <x:v>編號</x:v>
      </x:c>
      <x:c r="B4" s="8" t="str">
        <x:v>品名</x:v>
      </x:c>
      <x:c r="C4" s="8" t="str">
        <x:v>數量</x:v>
      </x:c>
      <x:c r="D4" s="8" t="str">
        <x:v>尺寸 mm</x:v>
      </x:c>
      <x:c r="E4" s="8" t="str">
        <x:v>規格</x:v>
      </x:c>
      <x:c r="F4" s="8" t="str">
        <x:v>樹脂</x:v>
      </x:c>
      <x:c r="G4" s="8" t="str">
        <x:v>用途與位置</x:v>
      </x:c>
      <x:c r="H4" s="8" t="str">
        <x:v>批次</x:v>
      </x:c>
      <x:c r="I4" s="8" t="str"/>
      <x:c r="J4" s="8" t="str">
        <x:v>STL 檔名</x:v>
      </x:c>
      <x:c r="K4" s="8" t="str">
        <x:v>限制與來源</x:v>
      </x:c>
      <x:c r="L4" s="8" t="str">
        <x:v>分類</x:v>
      </x:c>
    </x:row>
    <x:row r="5" ht="63" customHeight="1">
      <x:c r="A5" s="10" t="str">
        <x:v>01</x:v>
      </x:c>
      <x:c r="B5" s="10" t="str">
        <x:v>一體底座</x:v>
      </x:c>
      <x:c r="C5" s="10" t="n">
        <x:v>1</x:v>
      </x:c>
      <x:c r="D5" s="10" t="str">
        <x:v>108 × 108 × 43.3</x:v>
      </x:c>
      <x:c r="E5" s="10" t="str">
        <x:v>108×108×43.3 mm；壁2.4；PCB柱頂Z38；風扇座40.6內寬；天線開口23×12.6。</x:v>
      </x:c>
      <x:c r="F5" s="10" t="str">
        <x:v>Rigid PC/GF-like Black</x:v>
      </x:c>
      <x:c r="G5" s="10" t="str">
        <x:v>支承PCB、風扇、螺帽與整機。
組裝Z0–43.3。</x:v>
      </x:c>
      <x:c r="H5" s="10" t="str">
        <x:v>P1</x:v>
      </x:c>
      <x:c r="I5" s="10" t="str"/>
      <x:c r="J5" s="10" t="str">
        <x:v>01_base_BLACK.stl</x:v>
      </x:c>
      <x:c r="K5" s="10" t="str">
        <x:v>PCB與天線尺寸／垂直插入0.66 mm名義餘量、風扇／螺帽槽公差待實測。
CAD; ASM; STL</x:v>
      </x:c>
      <x:c r="L5" s="10" t="str">
        <x:v>必要</x:v>
      </x:c>
    </x:row>
    <x:row r="6" ht="63" customHeight="1">
      <x:c r="A6" s="10" t="str">
        <x:v>02</x:v>
      </x:c>
      <x:c r="B6" s="10" t="str">
        <x:v>黑色中殼與井套</x:v>
      </x:c>
      <x:c r="C6" s="10" t="n">
        <x:v>1</x:v>
      </x:c>
      <x:c r="D6" s="10" t="str">
        <x:v>108 × 108 × 23.2</x:v>
      </x:c>
      <x:c r="E6" s="10" t="str">
        <x:v>108×108×23.2 mm外包；井套20×18，槽5.3×4.1；井間最薄黑壁1.2；濾片座5.4×4.4。</x:v>
      </x:c>
      <x:c r="F6" s="10" t="str">
        <x:v>Rigid PC/GF-like Black</x:v>
      </x:c>
      <x:c r="G6" s="10" t="str">
        <x:v>包覆四井側面、維持定位與濾片支承。
組裝Z40.8–64；井套Z44.2–55.5；底部光學帶保持開放。</x:v>
      </x:c>
      <x:c r="H6" s="10" t="str">
        <x:v>P2</x:v>
      </x:c>
      <x:c r="I6" s="10" t="str"/>
      <x:c r="J6" s="10" t="str">
        <x:v>02_black_hood_BLACK.stl</x:v>
      </x:c>
      <x:c r="K6" s="10" t="str">
        <x:v>槽名義單邊0.15 mm；固化後尺寸、黑料470/520 nm遮光、C21/R27/U8避空与PD圈壓縮待實測。
CAD; ASM; STL</x:v>
      </x:c>
      <x:c r="L6" s="10" t="str">
        <x:v>必要</x:v>
      </x:c>
    </x:row>
    <x:row r="7" ht="78" customHeight="1">
      <x:c r="A7" s="10" t="str">
        <x:v>03</x:v>
      </x:c>
      <x:c r="B7" s="10" t="str">
        <x:v>氣路上蓋</x:v>
      </x:c>
      <x:c r="C7" s="10" t="n">
        <x:v>1</x:v>
      </x:c>
      <x:c r="D7" s="10" t="str">
        <x:v>108 × 108 × 8.1</x:v>
      </x:c>
      <x:c r="E7" s="10" t="str">
        <x:v>108×108×8.1 mm外包；共用氣室14.8×12、Z57.3–62.5；一體平台7.2×8×1.2；尾管ID2.4/OD3.4/止滑環4 mm。</x:v>
      </x:c>
      <x:c r="F7" s="10" t="str">
        <x:v>Rigid PC/GF-like Black</x:v>
      </x:c>
      <x:c r="G7" s="10" t="str">
        <x:v>開蓋換井、改變入口流向及形成共用氣路。
組裝Z57.9–66；入口-X／出口+X，軸Z60.8。</x:v>
      </x:c>
      <x:c r="H7" s="10" t="str">
        <x:v>P2</x:v>
      </x:c>
      <x:c r="I7" s="10" t="str"/>
      <x:c r="J7" s="10" t="str">
        <x:v>03_gas_lid_BLACK.stl</x:v>
      </x:c>
      <x:c r="K7" s="10" t="str">
        <x:v>尾管0.5 mm壁、約4.8 mm可套入段、孔清潔、密封面平整与VOC材料相容待驗證；並非原位滅菌認證。
CAD; ASM; STL</x:v>
      </x:c>
      <x:c r="L7" s="10" t="str">
        <x:v>必要</x:v>
      </x:c>
    </x:row>
    <x:row r="8" ht="78" customHeight="1">
      <x:c r="A8" s="10" t="str">
        <x:v>04</x:v>
      </x:c>
      <x:c r="B8" s="10" t="str">
        <x:v>透明井 NE</x:v>
      </x:c>
      <x:c r="C8" s="10" t="n">
        <x:v>1</x:v>
      </x:c>
      <x:c r="D8" s="10" t="str">
        <x:v>5.7 × 4.5 × 13</x:v>
      </x:c>
      <x:c r="E8" s="10" t="str">
        <x:v>含凸緣外包5.7×4.5×13 mm；井體5×3.8，液腔4×2.8×12.5；平底0.5、側壁0.5；名義100 µL／幾何滿杯140 µL。</x:v>
      </x:c>
      <x:c r="F8" s="10" t="str">
        <x:v>Aqua Clear Plus</x:v>
      </x:c>
      <x:c r="G8" s="10" t="str">
        <x:v>單井液體容器，可分別抽換；四井氣相共通。
中心(3.3,2.65)；外底Z42.5、內底Z43、頂Z55.5；凸緣向外。</x:v>
      </x:c>
      <x:c r="H8" s="10" t="str">
        <x:v>P3</x:v>
      </x:c>
      <x:c r="I8" s="10" t="str"/>
      <x:c r="J8" s="10" t="str">
        <x:v>04_well_NE_CLEAR.stl</x:v>
      </x:c>
      <x:c r="K8" s="10" t="str">
        <x:v>Aqua Clear Plus僅供尺寸／光學材料資格確認；透光、紫色／自螢光、浸出、細胞相容及密封未驗證。四個方向不同，不可旋轉混裝或縮放。
CAD; ASM; STL</x:v>
      </x:c>
      <x:c r="L8" s="10" t="str">
        <x:v>必要</x:v>
      </x:c>
    </x:row>
    <x:row r="9" ht="78" customHeight="1">
      <x:c r="A9" s="10" t="str">
        <x:v>05</x:v>
      </x:c>
      <x:c r="B9" s="10" t="str">
        <x:v>透明井 NW</x:v>
      </x:c>
      <x:c r="C9" s="10" t="n">
        <x:v>1</x:v>
      </x:c>
      <x:c r="D9" s="10" t="str">
        <x:v>5.7 × 4.5 × 13</x:v>
      </x:c>
      <x:c r="E9" s="10" t="str">
        <x:v>含凸緣外包5.7×4.5×13 mm；井體5×3.8，液腔4×2.8×12.5；平底0.5、側壁0.5；名義100 µL／幾何滿杯140 µL。</x:v>
      </x:c>
      <x:c r="F9" s="10" t="str">
        <x:v>Aqua Clear Plus</x:v>
      </x:c>
      <x:c r="G9" s="10" t="str">
        <x:v>單井液體容器，可分別抽換；四井氣相共通。
中心(-3.3,2.65)；外底Z42.5、內底Z43、頂Z55.5；凸緣向外。</x:v>
      </x:c>
      <x:c r="H9" s="10" t="str">
        <x:v>P3</x:v>
      </x:c>
      <x:c r="I9" s="10" t="str"/>
      <x:c r="J9" s="10" t="str">
        <x:v>05_well_NW_CLEAR.stl</x:v>
      </x:c>
      <x:c r="K9" s="10" t="str">
        <x:v>Aqua Clear Plus僅供尺寸／光學材料資格確認；透光、紫色／自螢光、浸出、細胞相容及密封未驗證。四個方向不同，不可旋轉混裝或縮放。
CAD; ASM; STL</x:v>
      </x:c>
      <x:c r="L9" s="10" t="str">
        <x:v>必要</x:v>
      </x:c>
    </x:row>
    <x:row r="10" ht="78" customHeight="1">
      <x:c r="A10" s="10" t="str">
        <x:v>06</x:v>
      </x:c>
      <x:c r="B10" s="10" t="str">
        <x:v>透明井 SW</x:v>
      </x:c>
      <x:c r="C10" s="10" t="n">
        <x:v>1</x:v>
      </x:c>
      <x:c r="D10" s="10" t="str">
        <x:v>5.7 × 4.5 × 13</x:v>
      </x:c>
      <x:c r="E10" s="10" t="str">
        <x:v>含凸緣外包5.7×4.5×13 mm；井體5×3.8，液腔4×2.8×12.5；平底0.5、側壁0.5；名義100 µL／幾何滿杯140 µL。</x:v>
      </x:c>
      <x:c r="F10" s="10" t="str">
        <x:v>Aqua Clear Plus</x:v>
      </x:c>
      <x:c r="G10" s="10" t="str">
        <x:v>單井液體容器，可分別抽換；四井氣相共通。
中心(-3.3,-2.65)；外底Z42.5、內底Z43、頂Z55.5；凸緣向外。</x:v>
      </x:c>
      <x:c r="H10" s="10" t="str">
        <x:v>P3</x:v>
      </x:c>
      <x:c r="I10" s="10" t="str"/>
      <x:c r="J10" s="10" t="str">
        <x:v>06_well_SW_CLEAR.stl</x:v>
      </x:c>
      <x:c r="K10" s="10" t="str">
        <x:v>Aqua Clear Plus僅供尺寸／光學材料資格確認；透光、紫色／自螢光、浸出、細胞相容及密封未驗證。四個方向不同，不可旋轉混裝或縮放。
CAD; ASM; STL</x:v>
      </x:c>
      <x:c r="L10" s="10" t="str">
        <x:v>必要</x:v>
      </x:c>
    </x:row>
    <x:row r="11" ht="78" customHeight="1">
      <x:c r="A11" s="10" t="str">
        <x:v>07</x:v>
      </x:c>
      <x:c r="B11" s="10" t="str">
        <x:v>透明井 SE</x:v>
      </x:c>
      <x:c r="C11" s="10" t="n">
        <x:v>1</x:v>
      </x:c>
      <x:c r="D11" s="10" t="str">
        <x:v>5.7 × 4.5 × 13</x:v>
      </x:c>
      <x:c r="E11" s="10" t="str">
        <x:v>含凸緣外包5.7×4.5×13 mm；井體5×3.8，液腔4×2.8×12.5；平底0.5、側壁0.5；名義100 µL／幾何滿杯140 µL。</x:v>
      </x:c>
      <x:c r="F11" s="10" t="str">
        <x:v>Aqua Clear Plus</x:v>
      </x:c>
      <x:c r="G11" s="10" t="str">
        <x:v>單井液體容器，可分別抽換；四井氣相共通。
中心(3.3,-2.65)；外底Z42.5、內底Z43、頂Z55.5；凸緣向外。</x:v>
      </x:c>
      <x:c r="H11" s="10" t="str">
        <x:v>P3</x:v>
      </x:c>
      <x:c r="I11" s="10" t="str"/>
      <x:c r="J11" s="10" t="str">
        <x:v>07_well_SE_CLEAR.stl</x:v>
      </x:c>
      <x:c r="K11" s="10" t="str">
        <x:v>Aqua Clear Plus僅供尺寸／光學材料資格確認；透光、紫色／自螢光、浸出、細胞相容及密封未驗證。四個方向不同，不可旋轉混裝或縮放。
CAD; ASM; STL</x:v>
      </x:c>
      <x:c r="L11" s="10" t="str">
        <x:v>必要</x:v>
      </x:c>
    </x:row>
    <x:row r="12" ht="63" customHeight="1">
      <x:c r="A12" s="10" t="str">
        <x:v>08</x:v>
      </x:c>
      <x:c r="B12" s="10" t="str">
        <x:v>四孔壓板</x:v>
      </x:c>
      <x:c r="C12" s="10" t="n">
        <x:v>1</x:v>
      </x:c>
      <x:c r="D12" s="10" t="str">
        <x:v>20 × 18 × 1.2</x:v>
      </x:c>
      <x:c r="E12" s="10" t="str">
        <x:v>20×18×1.2 mm；4孔各4×2.8，中心(±3.3,±2.65)。</x:v>
      </x:c>
      <x:c r="F12" s="10" t="str">
        <x:v>Rigid PC/GF-like Black</x:v>
      </x:c>
      <x:c r="G12" s="10" t="str">
        <x:v>分配氣蓋壓力，使四井口密封片貼合。
下四孔片上方／上周邊圈下方，組裝Z56.1–57.3。</x:v>
      </x:c>
      <x:c r="H12" s="10" t="str">
        <x:v>P2</x:v>
      </x:c>
      <x:c r="I12" s="10" t="str"/>
      <x:c r="J12" s="10" t="str">
        <x:v>08_gas_compression_plate_BLACK.stl</x:v>
      </x:c>
      <x:c r="K12" s="10" t="str">
        <x:v>平面度、孔位、壓缩与裂紋待實測；不可省略，也不可靠更緊螺絲補償翹曲。
CAD; ASM; STL</x:v>
      </x:c>
      <x:c r="L12" s="10" t="str">
        <x:v>必要</x:v>
      </x:c>
    </x:row>
    <x:row r="13" ht="28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8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8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9" hidden="0" customWidth="1"/>
    <x:col min="2" max="2" width="24" hidden="0" customWidth="1"/>
    <x:col min="3" max="3" width="52" hidden="0" customWidth="1"/>
    <x:col min="4" max="4" width="38" hidden="0" customWidth="1"/>
    <x:col min="5" max="5" width="8" hidden="0" customWidth="1"/>
    <x:col min="6" max="6" width="9" hidden="0" customWidth="1"/>
    <x:col min="7" max="7" width="19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5" hidden="0" customWidth="1"/>
    <x:col min="17" max="17" width="16" hidden="0" customWidth="1"/>
    <x:col min="18" max="18" width="16" hidden="0" customWidth="1"/>
    <x:col min="19" max="19" width="20" hidden="0" customWidth="1"/>
    <x:col min="20" max="20" width="4" hidden="0" customWidth="1"/>
    <x:col min="21" max="21" width="58" hidden="0" customWidth="1"/>
    <x:col min="22" max="22" width="60" hidden="0" customWidth="1"/>
    <x:col min="23" max="23" width="1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28" customHeight="1">
      <x:c r="A2" s="3" t="str">
        <x:v>外購材料與設備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28" customHeight="1">
      <x:c r="A3" s="4" t="str">
        <x:v>黃色輸入可改；已持有量可填借用數量。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48" customHeight="1">
      <x:c r="A4" s="8" t="str">
        <x:v>編號</x:v>
      </x:c>
      <x:c r="B4" s="8" t="str">
        <x:v>品名</x:v>
      </x:c>
      <x:c r="C4" s="8" t="str">
        <x:v>完整規格</x:v>
      </x:c>
      <x:c r="D4" s="8" t="str">
        <x:v>用途與位置</x:v>
      </x:c>
      <x:c r="E4" s="8" t="str">
        <x:v>用量</x:v>
      </x:c>
      <x:c r="F4" s="8" t="str">
        <x:v>單位</x:v>
      </x:c>
      <x:c r="G4" s="8" t="str">
        <x:v>分類</x:v>
      </x:c>
      <x:c r="H4" s="8" t="str">
        <x:v>來源單價</x:v>
      </x:c>
      <x:c r="I4" s="8" t="str">
        <x:v>幣別</x:v>
      </x:c>
      <x:c r="J4" s="8" t="str">
        <x:v>每包數量</x:v>
      </x:c>
      <x:c r="K4" s="8" t="str">
        <x:v>已持有量</x:v>
      </x:c>
      <x:c r="L4" s="8" t="str">
        <x:v>單價 NTD</x:v>
      </x:c>
      <x:c r="M4" s="8" t="str">
        <x:v>單價 USD</x:v>
      </x:c>
      <x:c r="N4" s="8" t="str">
        <x:v>用量 NTD</x:v>
      </x:c>
      <x:c r="O4" s="8" t="str">
        <x:v>用量 USD</x:v>
      </x:c>
      <x:c r="P4" s="8" t="str">
        <x:v>需購包數</x:v>
      </x:c>
      <x:c r="Q4" s="8" t="str">
        <x:v>新購 NTD</x:v>
      </x:c>
      <x:c r="R4" s="8" t="str">
        <x:v>新購 USD</x:v>
      </x:c>
      <x:c r="S4" s="8" t="str">
        <x:v>價格類型</x:v>
      </x:c>
      <x:c r="T4" s="8" t="str"/>
      <x:c r="U4" s="8" t="str">
        <x:v>相容性限制</x:v>
      </x:c>
      <x:c r="V4" s="8" t="str">
        <x:v>價格來源</x:v>
      </x:c>
      <x:c r="W4" s="8" t="str">
        <x:v>計算狀態</x:v>
      </x:c>
    </x:row>
    <x:row r="5" ht="93" customHeight="1">
      <x:c r="A5" s="10" t="str">
        <x:v>F01</x:v>
      </x:c>
      <x:c r="B5" s="10" t="str">
        <x:v>5 V 直流軸流風扇</x:v>
      </x:c>
      <x:c r="C5" s="10" t="str">
        <x:v>40×40×10 mm；孔中心距32×32 mm。既有候選 Sunon MF40100V1-1000U-A99：5 V、額定136 mA／0.68 W；不是已核定採購型號。</x:v>
      </x:c>
      <x:c r="D5" s="10" t="str">
        <x:v>電子區散熱；不控制樣本氣流。
01底座，中心(-27,-5)，底Z6／頂Z16；由底部向PCB送風，2個對角固定點。</x:v>
      </x:c>
      <x:c r="E5" s="10" t="n">
        <x:v>1</x:v>
      </x:c>
      <x:c r="F5" s="10" t="str">
        <x:v>pc</x:v>
      </x:c>
      <x:c r="G5" s="10" t="str">
        <x:v>必要</x:v>
      </x:c>
      <x:c r="H5" s="14" t="n">
        <x:v>161</x:v>
      </x:c>
      <x:c r="I5" s="11" t="str">
        <x:v>NTD</x:v>
      </x:c>
      <x:c r="J5" s="11" t="n">
        <x:v>1</x:v>
      </x:c>
      <x:c r="K5" s="11" t="n">
        <x:v>0</x:v>
      </x:c>
      <x:c r="L5" s="12" t="n">
        <x:f>IF(AND(ISNUMBER(H5),H5&gt;=0,ISNUMBER(Summary!$F$5),Summary!$F$5&gt;0,OR(I5="NTD",I5="USD")),IF(I5="USD",H5*Summary!$F$5,H5),"")</x:f>
        <x:v>161</x:v>
      </x:c>
      <x:c r="M5" s="12" t="n">
        <x:f>IF(AND(ISNUMBER(H5),H5&gt;=0,ISNUMBER(Summary!$F$5),Summary!$F$5&gt;0,OR(I5="NTD",I5="USD")),IF(I5="USD",H5,H5/Summary!$F$5),"")</x:f>
        <x:v>5.062097154535451</x:v>
      </x:c>
      <x:c r="N5" s="12" t="n">
        <x:f>IF(AND(ISNUMBER(E5),E5&gt;=0,ISNUMBER(L5)),E5*L5,"")</x:f>
        <x:v>161</x:v>
      </x:c>
      <x:c r="O5" s="12" t="n">
        <x:f>IF(AND(ISNUMBER(E5),E5&gt;=0,ISNUMBER(M5)),E5*M5,"")</x:f>
        <x:v>5.062097154535451</x:v>
      </x:c>
      <x:c r="P5" s="10" t="n">
        <x:f>IF(AND(ISNUMBER(E5),E5&gt;=0,ISNUMBER(J5),J5&gt;0,ISNUMBER(K5),K5&gt;=0),ROUNDUP(MAX(0,E5-K5)/J5,0),"")</x:f>
        <x:v>1</x:v>
      </x:c>
      <x:c r="Q5" s="12" t="n">
        <x:f>IF(AND(ISNUMBER(P5),ISNUMBER(L5)),P5*J5*L5,"")</x:f>
        <x:v>161</x:v>
      </x:c>
      <x:c r="R5" s="12" t="n">
        <x:f>IF(AND(ISNUMBER(P5),ISNUMBER(M5)),P5*J5*M5,"")</x:f>
        <x:v>5.062097154535451</x:v>
      </x:c>
      <x:c r="S5" s="10" t="str">
        <x:v>Listed</x:v>
      </x:c>
      <x:c r="T5" s="10" t="str"/>
      <x:c r="U5" s="10" t="str">
        <x:v>CAD座內寬40.6；候選外框40±0.5 mm，最大尺寸時僅約0.05 mm/邊，未扣列印誤差。量框、孔距、厚度及線路，確認可自然放入。須廠商核准5 V接點與啟動電流餘裕；電池模式5 V能力未證明，不能接GPIO或任意3.3 V。</x:v>
      </x:c>
      <x:c r="V5" s="10" t="str">
        <x:v>FAN
NTD 161 at quantity 1. Listed out of stock. Shipping and local tax not added.
https://www.digikey.tw/en/products/detail/sunon-fans/MF40100V1-1000U-A99/6198732</x:v>
      </x:c>
      <x:c r="W5" s="10" t="str">
        <x:f>IF(AND(ISNUMBER(N5),ISNUMBER(Q5)),"OK","Missing")</x:f>
        <x:v>OK</x:v>
      </x:c>
    </x:row>
    <x:row r="6" ht="123" customHeight="1">
      <x:c r="A6" s="10" t="str">
        <x:v>H01</x:v>
      </x:c>
      <x:c r="B6" s="10" t="str">
        <x:v>M3×8 螺絲</x:v>
      </x:c>
      <x:c r="C6" s="10" t="str">
        <x:v>M3公制粗牙、牙距0.5 mm；頭下長8 mm。建議統一內六角圓柱頭，ISO4762/DIN912類型，名義頭徑5.5／頭高3／工具2.5 mm；平底承壓，不用沉頭或自攻牙。頭型為採購規格建議，尚未實物試裝。</x:v>
      </x:c>
      <x:c r="D6" s="10" t="str">
        <x:v>固定PCB
PCB四角(±45,±40)，由光學面上方穿入。</x:v>
      </x:c>
      <x:c r="E6" s="10" t="n">
        <x:v>4</x:v>
      </x:c>
      <x:c r="F6" s="10" t="str">
        <x:v>pc</x:v>
      </x:c>
      <x:c r="G6" s="10" t="str">
        <x:v>必要</x:v>
      </x:c>
      <x:c r="H6" s="14" t="n">
        <x:v>3</x:v>
      </x:c>
      <x:c r="I6" s="11" t="str">
        <x:v>NTD</x:v>
      </x:c>
      <x:c r="J6" s="11" t="n">
        <x:v>20</x:v>
      </x:c>
      <x:c r="K6" s="11" t="n">
        <x:v>0</x:v>
      </x:c>
      <x:c r="L6" s="12" t="n">
        <x:f>IF(AND(ISNUMBER(H6),H6&gt;=0,ISNUMBER(Summary!$F$5),Summary!$F$5&gt;0,OR(I6="NTD",I6="USD")),IF(I6="USD",H6*Summary!$F$5,H6),"")</x:f>
        <x:v>3</x:v>
      </x:c>
      <x:c r="M6" s="12" t="n">
        <x:f>IF(AND(ISNUMBER(H6),H6&gt;=0,ISNUMBER(Summary!$F$5),Summary!$F$5&gt;0,OR(I6="NTD",I6="USD")),IF(I6="USD",H6,H6/Summary!$F$5),"")</x:f>
        <x:v>0.09432479169941833</x:v>
      </x:c>
      <x:c r="N6" s="12" t="n">
        <x:f>IF(AND(ISNUMBER(E6),E6&gt;=0,ISNUMBER(L6)),E6*L6,"")</x:f>
        <x:v>12</x:v>
      </x:c>
      <x:c r="O6" s="12" t="n">
        <x:f>IF(AND(ISNUMBER(E6),E6&gt;=0,ISNUMBER(M6)),E6*M6,"")</x:f>
        <x:v>0.37729916679767334</x:v>
      </x:c>
      <x:c r="P6" s="10" t="n">
        <x:f>IF(AND(ISNUMBER(E6),E6&gt;=0,ISNUMBER(J6),J6&gt;0,ISNUMBER(K6),K6&gt;=0),ROUNDUP(MAX(0,E6-K6)/J6,0),"")</x:f>
        <x:v>1</x:v>
      </x:c>
      <x:c r="Q6" s="12" t="n">
        <x:f>IF(AND(ISNUMBER(P6),ISNUMBER(L6)),P6*J6*L6,"")</x:f>
        <x:v>60</x:v>
      </x:c>
      <x:c r="R6" s="12" t="n">
        <x:f>IF(AND(ISNUMBER(P6),ISNUMBER(M6)),P6*J6*M6,"")</x:f>
        <x:v>1.8864958339883666</x:v>
      </x:c>
      <x:c r="S6" s="10" t="str">
        <x:v>Allowance</x:v>
      </x:c>
      <x:c r="T6" s="10" t="str"/>
      <x:c r="U6" s="10" t="str">
        <x:v>配0.5 mm墊片時，名義頭下Z40.1、尖端Z32.1；螺帽槽Z33.5–36.2。實板孔徑、孔周銅箔禁布及頭部間隙須量測。 樹脂結構尚無核定鎖附扭矩；材質／表面處理待採購確認。</x:v>
      </x:c>
      <x:c r="V6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6" s="10" t="str">
        <x:f>IF(AND(ISNUMBER(N6),ISNUMBER(Q6)),"OK","Missing")</x:f>
        <x:v>OK</x:v>
      </x:c>
    </x:row>
    <x:row r="7" ht="123" customHeight="1">
      <x:c r="A7" s="10" t="str">
        <x:v>H02</x:v>
      </x:c>
      <x:c r="B7" s="10" t="str">
        <x:v>M3×16 螺絲</x:v>
      </x:c>
      <x:c r="C7" s="10" t="str">
        <x:v>M3公制粗牙、牙距0.5 mm；頭下長16 mm。建議統一內六角圓柱頭，ISO4762/DIN912類型，名義頭徑5.5／頭高3／工具2.5 mm；平底承壓，不用沉頭或自攻牙。頭型為採購規格建議，尚未實物試裝。</x:v>
      </x:c>
      <x:c r="D7" s="10" t="str">
        <x:v>固定風扇
由風扇上方穿入對角(-43,-21)、(-11,11)。</x:v>
      </x:c>
      <x:c r="E7" s="10" t="n">
        <x:v>2</x:v>
      </x:c>
      <x:c r="F7" s="10" t="str">
        <x:v>pc</x:v>
      </x:c>
      <x:c r="G7" s="10" t="str">
        <x:v>必要</x:v>
      </x:c>
      <x:c r="H7" s="14" t="n">
        <x:v>4</x:v>
      </x:c>
      <x:c r="I7" s="11" t="str">
        <x:v>NTD</x:v>
      </x:c>
      <x:c r="J7" s="11" t="n">
        <x:v>20</x:v>
      </x:c>
      <x:c r="K7" s="11" t="n">
        <x:v>0</x:v>
      </x:c>
      <x:c r="L7" s="12" t="n">
        <x:f>IF(AND(ISNUMBER(H7),H7&gt;=0,ISNUMBER(Summary!$F$5),Summary!$F$5&gt;0,OR(I7="NTD",I7="USD")),IF(I7="USD",H7*Summary!$F$5,H7),"")</x:f>
        <x:v>4</x:v>
      </x:c>
      <x:c r="M7" s="12" t="n">
        <x:f>IF(AND(ISNUMBER(H7),H7&gt;=0,ISNUMBER(Summary!$F$5),Summary!$F$5&gt;0,OR(I7="NTD",I7="USD")),IF(I7="USD",H7,H7/Summary!$F$5),"")</x:f>
        <x:v>0.1257663889325578</x:v>
      </x:c>
      <x:c r="N7" s="12" t="n">
        <x:f>IF(AND(ISNUMBER(E7),E7&gt;=0,ISNUMBER(L7)),E7*L7,"")</x:f>
        <x:v>8</x:v>
      </x:c>
      <x:c r="O7" s="12" t="n">
        <x:f>IF(AND(ISNUMBER(E7),E7&gt;=0,ISNUMBER(M7)),E7*M7,"")</x:f>
        <x:v>0.2515327778651156</x:v>
      </x:c>
      <x:c r="P7" s="10" t="n">
        <x:f>IF(AND(ISNUMBER(E7),E7&gt;=0,ISNUMBER(J7),J7&gt;0,ISNUMBER(K7),K7&gt;=0),ROUNDUP(MAX(0,E7-K7)/J7,0),"")</x:f>
        <x:v>1</x:v>
      </x:c>
      <x:c r="Q7" s="12" t="n">
        <x:f>IF(AND(ISNUMBER(P7),ISNUMBER(L7)),P7*J7*L7,"")</x:f>
        <x:v>80</x:v>
      </x:c>
      <x:c r="R7" s="12" t="n">
        <x:f>IF(AND(ISNUMBER(P7),ISNUMBER(M7)),P7*J7*M7,"")</x:f>
        <x:v>2.5153277786511556</x:v>
      </x:c>
      <x:c r="S7" s="10" t="str">
        <x:v>Allowance</x:v>
      </x:c>
      <x:c r="T7" s="10" t="str"/>
      <x:c r="U7" s="10" t="str">
        <x:v>名義10 mm風扇＋0.5 mm墊片時，頭下Z16.5、尖端Z0.5；螺帽槽Z0.3–3。實際風扇／墊片／螺絲公差須核對：尖端不可低於腳底Z0，且須確實咬合螺帽。 樹脂結構尚無核定鎖附扭矩；材質／表面處理待採購確認。</x:v>
      </x:c>
      <x:c r="V7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7" s="10" t="str">
        <x:f>IF(AND(ISNUMBER(N7),ISNUMBER(Q7)),"OK","Missing")</x:f>
        <x:v>OK</x:v>
      </x:c>
    </x:row>
    <x:row r="8" ht="123" customHeight="1">
      <x:c r="A8" s="10" t="str">
        <x:v>H03</x:v>
      </x:c>
      <x:c r="B8" s="10" t="str">
        <x:v>M3×35 螺絲</x:v>
      </x:c>
      <x:c r="C8" s="10" t="str">
        <x:v>M3公制粗牙、牙距0.5 mm；頭下長35 mm。建議統一內六角圓柱頭，ISO4762/DIN912類型，名義頭徑5.5／頭高3／工具2.5 mm；平底承壓，不用沉頭或自攻牙。頭型為採購規格建議，尚未實物試裝。</x:v>
      </x:c>
      <x:c r="D8" s="10" t="str">
        <x:v>固定底座、中殼及可拆上蓋
上蓋(-30,-51.8)、(30,47.8)向下鎖到下殼螺帽。</x:v>
      </x:c>
      <x:c r="E8" s="10" t="n">
        <x:v>2</x:v>
      </x:c>
      <x:c r="F8" s="10" t="str">
        <x:v>pc</x:v>
      </x:c>
      <x:c r="G8" s="10" t="str">
        <x:v>必要</x:v>
      </x:c>
      <x:c r="H8" s="14" t="n">
        <x:v>6</x:v>
      </x:c>
      <x:c r="I8" s="11" t="str">
        <x:v>NTD</x:v>
      </x:c>
      <x:c r="J8" s="11" t="n">
        <x:v>10</x:v>
      </x:c>
      <x:c r="K8" s="11" t="n">
        <x:v>0</x:v>
      </x:c>
      <x:c r="L8" s="12" t="n">
        <x:f>IF(AND(ISNUMBER(H8),H8&gt;=0,ISNUMBER(Summary!$F$5),Summary!$F$5&gt;0,OR(I8="NTD",I8="USD")),IF(I8="USD",H8*Summary!$F$5,H8),"")</x:f>
        <x:v>6</x:v>
      </x:c>
      <x:c r="M8" s="12" t="n">
        <x:f>IF(AND(ISNUMBER(H8),H8&gt;=0,ISNUMBER(Summary!$F$5),Summary!$F$5&gt;0,OR(I8="NTD",I8="USD")),IF(I8="USD",H8,H8/Summary!$F$5),"")</x:f>
        <x:v>0.18864958339883667</x:v>
      </x:c>
      <x:c r="N8" s="12" t="n">
        <x:f>IF(AND(ISNUMBER(E8),E8&gt;=0,ISNUMBER(L8)),E8*L8,"")</x:f>
        <x:v>12</x:v>
      </x:c>
      <x:c r="O8" s="12" t="n">
        <x:f>IF(AND(ISNUMBER(E8),E8&gt;=0,ISNUMBER(M8)),E8*M8,"")</x:f>
        <x:v>0.37729916679767334</x:v>
      </x:c>
      <x:c r="P8" s="10" t="n">
        <x:f>IF(AND(ISNUMBER(E8),E8&gt;=0,ISNUMBER(J8),J8&gt;0,ISNUMBER(K8),K8&gt;=0),ROUNDUP(MAX(0,E8-K8)/J8,0),"")</x:f>
        <x:v>1</x:v>
      </x:c>
      <x:c r="Q8" s="12" t="n">
        <x:f>IF(AND(ISNUMBER(P8),ISNUMBER(L8)),P8*J8*L8,"")</x:f>
        <x:v>60</x:v>
      </x:c>
      <x:c r="R8" s="12" t="n">
        <x:f>IF(AND(ISNUMBER(P8),ISNUMBER(M8)),P8*J8*M8,"")</x:f>
        <x:v>1.8864958339883666</x:v>
      </x:c>
      <x:c r="S8" s="10" t="str">
        <x:v>Allowance</x:v>
      </x:c>
      <x:c r="T8" s="10" t="str"/>
      <x:c r="U8" s="10" t="str">
        <x:v>不另加墊片的既有堆疊：頭下Z66、尖端Z31；螺帽槽Z33.2–35.9。頭部凸出殼頂，不含於66 mm殼高；須核對供應商螺紋長度及實物止擋，不能以過鎖強壓密封。 樹脂結構尚無核定鎖附扭矩；材質／表面處理待採購確認。</x:v>
      </x:c>
      <x:c r="V8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8" s="10" t="str">
        <x:f>IF(AND(ISNUMBER(N8),ISNUMBER(Q8)),"OK","Missing")</x:f>
        <x:v>OK</x:v>
      </x:c>
    </x:row>
    <x:row r="9" ht="123" customHeight="1">
      <x:c r="A9" s="10" t="str">
        <x:v>H04</x:v>
      </x:c>
      <x:c r="B9" s="10" t="str">
        <x:v>M3 六角螺帽</x:v>
      </x:c>
      <x:c r="C9" s="10" t="str">
        <x:v>M3×0.5；一般六角螺帽外形：對邊5.5 mm、高2.4 mm，DIN934／近似ISO4032尺寸；非加高防鬆螺帽。</x:v>
      </x:c>
      <x:c r="D9" s="10" t="str">
        <x:v>與3種螺絲配對；4 PCB＋2風扇＋2外殼。
底座一體螺帽槽；PCB與外殼由側槽裝，風扇由底面装。</x:v>
      </x:c>
      <x:c r="E9" s="10" t="n">
        <x:v>8</x:v>
      </x:c>
      <x:c r="F9" s="10" t="str">
        <x:v>pc</x:v>
      </x:c>
      <x:c r="G9" s="10" t="str">
        <x:v>必要</x:v>
      </x:c>
      <x:c r="H9" s="14" t="n">
        <x:v>2</x:v>
      </x:c>
      <x:c r="I9" s="11" t="str">
        <x:v>NTD</x:v>
      </x:c>
      <x:c r="J9" s="11" t="n">
        <x:v>20</x:v>
      </x:c>
      <x:c r="K9" s="11" t="n">
        <x:v>0</x:v>
      </x:c>
      <x:c r="L9" s="12" t="n">
        <x:f>IF(AND(ISNUMBER(H9),H9&gt;=0,ISNUMBER(Summary!$F$5),Summary!$F$5&gt;0,OR(I9="NTD",I9="USD")),IF(I9="USD",H9*Summary!$F$5,H9),"")</x:f>
        <x:v>2</x:v>
      </x:c>
      <x:c r="M9" s="12" t="n">
        <x:f>IF(AND(ISNUMBER(H9),H9&gt;=0,ISNUMBER(Summary!$F$5),Summary!$F$5&gt;0,OR(I9="NTD",I9="USD")),IF(I9="USD",H9,H9/Summary!$F$5),"")</x:f>
        <x:v>0.0628831944662789</x:v>
      </x:c>
      <x:c r="N9" s="12" t="n">
        <x:f>IF(AND(ISNUMBER(E9),E9&gt;=0,ISNUMBER(L9)),E9*L9,"")</x:f>
        <x:v>16</x:v>
      </x:c>
      <x:c r="O9" s="12" t="n">
        <x:f>IF(AND(ISNUMBER(E9),E9&gt;=0,ISNUMBER(M9)),E9*M9,"")</x:f>
        <x:v>0.5030655557302312</x:v>
      </x:c>
      <x:c r="P9" s="10" t="n">
        <x:f>IF(AND(ISNUMBER(E9),E9&gt;=0,ISNUMBER(J9),J9&gt;0,ISNUMBER(K9),K9&gt;=0),ROUNDUP(MAX(0,E9-K9)/J9,0),"")</x:f>
        <x:v>1</x:v>
      </x:c>
      <x:c r="Q9" s="12" t="n">
        <x:f>IF(AND(ISNUMBER(P9),ISNUMBER(L9)),P9*J9*L9,"")</x:f>
        <x:v>40</x:v>
      </x:c>
      <x:c r="R9" s="12" t="n">
        <x:f>IF(AND(ISNUMBER(P9),ISNUMBER(M9)),P9*J9*M9,"")</x:f>
        <x:v>1.2576638893255778</x:v>
      </x:c>
      <x:c r="S9" s="10" t="str">
        <x:v>Allowance</x:v>
      </x:c>
      <x:c r="T9" s="10" t="str"/>
      <x:c r="U9" s="10" t="str">
        <x:v>CAD六角槽外接半徑3.3，因此對邊5.716 mm，高2.7 mm；對5.5×2.4螺帽僅總寬餘量0.216／高度0.3 mm，印後須試裝。材料／表面處理與螺絲配對，不能強壓或以自攻取代。</x:v>
      </x:c>
      <x:c r="V9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9" s="10" t="str">
        <x:f>IF(AND(ISNUMBER(N9),ISNUMBER(Q9)),"OK","Missing")</x:f>
        <x:v>OK</x:v>
      </x:c>
    </x:row>
    <x:row r="10" ht="123" customHeight="1">
      <x:c r="A10" s="10" t="str">
        <x:v>H05</x:v>
      </x:c>
      <x:c r="B10" s="10" t="str">
        <x:v>M3 平墊片</x:v>
      </x:c>
      <x:c r="C10" s="10" t="str">
        <x:v>名義內徑3.2、外徑7.0、厚0.5 mm；平面型，共6片。不得將M3誤作內徑恰為3.0 mm。</x:v>
      </x:c>
      <x:c r="D10" s="10" t="str">
        <x:v>分散頭部承壓；4 PCB＋2風扇。
各M3×8與M3×16螺絲頭下；M3×35既有清單不另計。</x:v>
      </x:c>
      <x:c r="E10" s="10" t="n">
        <x:v>6</x:v>
      </x:c>
      <x:c r="F10" s="10" t="str">
        <x:v>pc</x:v>
      </x:c>
      <x:c r="G10" s="10" t="str">
        <x:v>必要</x:v>
      </x:c>
      <x:c r="H10" s="14" t="n">
        <x:v>1</x:v>
      </x:c>
      <x:c r="I10" s="11" t="str">
        <x:v>NTD</x:v>
      </x:c>
      <x:c r="J10" s="11" t="n">
        <x:v>20</x:v>
      </x:c>
      <x:c r="K10" s="11" t="n">
        <x:v>0</x:v>
      </x:c>
      <x:c r="L10" s="12" t="n">
        <x:f>IF(AND(ISNUMBER(H10),H10&gt;=0,ISNUMBER(Summary!$F$5),Summary!$F$5&gt;0,OR(I10="NTD",I10="USD")),IF(I10="USD",H10*Summary!$F$5,H10),"")</x:f>
        <x:v>1</x:v>
      </x:c>
      <x:c r="M10" s="12" t="n">
        <x:f>IF(AND(ISNUMBER(H10),H10&gt;=0,ISNUMBER(Summary!$F$5),Summary!$F$5&gt;0,OR(I10="NTD",I10="USD")),IF(I10="USD",H10,H10/Summary!$F$5),"")</x:f>
        <x:v>0.03144159723313945</x:v>
      </x:c>
      <x:c r="N10" s="12" t="n">
        <x:f>IF(AND(ISNUMBER(E10),E10&gt;=0,ISNUMBER(L10)),E10*L10,"")</x:f>
        <x:v>6</x:v>
      </x:c>
      <x:c r="O10" s="12" t="n">
        <x:f>IF(AND(ISNUMBER(E10),E10&gt;=0,ISNUMBER(M10)),E10*M10,"")</x:f>
        <x:v>0.1886495833988367</x:v>
      </x:c>
      <x:c r="P10" s="10" t="n">
        <x:f>IF(AND(ISNUMBER(E10),E10&gt;=0,ISNUMBER(J10),J10&gt;0,ISNUMBER(K10),K10&gt;=0),ROUNDUP(MAX(0,E10-K10)/J10,0),"")</x:f>
        <x:v>1</x:v>
      </x:c>
      <x:c r="Q10" s="12" t="n">
        <x:f>IF(AND(ISNUMBER(P10),ISNUMBER(L10)),P10*J10*L10,"")</x:f>
        <x:v>20</x:v>
      </x:c>
      <x:c r="R10" s="12" t="n">
        <x:f>IF(AND(ISNUMBER(P10),ISNUMBER(M10)),P10*J10*M10,"")</x:f>
        <x:v>0.6288319446627889</x:v>
      </x:c>
      <x:c r="S10" s="10" t="str">
        <x:v>Allowance</x:v>
      </x:c>
      <x:c r="T10" s="10" t="str"/>
      <x:c r="U10" s="10" t="str">
        <x:v>外徑7 mm是可採購參考尺寸，PCB孔周禁布尚未核定，金屬墊片不能碰裸銅。導電／絕緣材質待廠商確認；絕緣墊片亦須驗證蠕變、實際厚度與鎖附。不得自行換厚件而沿用螺絲堆疊。</x:v>
      </x:c>
      <x:c r="V10" s="10" t="str">
        <x:v>FASTENER
Listing shows small M3 fasteners around NTD 3 individually. Listed flat-head type is NOT the specified socket cap. Budget allowances 3/4/6 NTD for M3x8/16/35 cap screws, 2 for nuts and 1 for washers; local exact-type prices unverified.
https://www.ruten.com.tw/item/21306183365097/</x:v>
      </x:c>
      <x:c r="W10" s="10" t="str">
        <x:f>IF(AND(ISNUMBER(N10),ISNUMBER(Q10)),"OK","Missing")</x:f>
        <x:v>OK</x:v>
      </x:c>
    </x:row>
    <x:row r="11" ht="123" customHeight="1">
      <x:c r="A11" s="10" t="str">
        <x:v>E01</x:v>
      </x:c>
      <x:c r="B11" s="10" t="str">
        <x:v>導線、絕緣套管與固定耗材</x:v>
      </x:c>
      <x:c r="C11" s="10" t="str">
        <x:v>1組：5 V/GND兩路接線、接點絕緣及線束固定；長度按實際走線裁切。線徑、接頭、絕緣等級與固定方式依供應商核准，尚無已確認風扇插座。</x:v>
      </x:c>
      <x:c r="D11" s="10" t="str">
        <x:v>接風扇電源並防止拉扯、短路與碰葉片。
沿下殼邊緣，避開風扇葉片、PCB柱及ESP32天線。</x:v>
      </x:c>
      <x:c r="E11" s="10" t="n">
        <x:v>1</x:v>
      </x:c>
      <x:c r="F11" s="10" t="str">
        <x:v>set</x:v>
      </x:c>
      <x:c r="G11" s="10" t="str">
        <x:v>必要</x:v>
      </x:c>
      <x:c r="H11" s="14" t="n">
        <x:v>80</x:v>
      </x:c>
      <x:c r="I11" s="11" t="str">
        <x:v>NTD</x:v>
      </x:c>
      <x:c r="J11" s="11" t="n">
        <x:v>1</x:v>
      </x:c>
      <x:c r="K11" s="11" t="n">
        <x:v>0</x:v>
      </x:c>
      <x:c r="L11" s="12" t="n">
        <x:f>IF(AND(ISNUMBER(H11),H11&gt;=0,ISNUMBER(Summary!$F$5),Summary!$F$5&gt;0,OR(I11="NTD",I11="USD")),IF(I11="USD",H11*Summary!$F$5,H11),"")</x:f>
        <x:v>80</x:v>
      </x:c>
      <x:c r="M11" s="12" t="n">
        <x:f>IF(AND(ISNUMBER(H11),H11&gt;=0,ISNUMBER(Summary!$F$5),Summary!$F$5&gt;0,OR(I11="NTD",I11="USD")),IF(I11="USD",H11,H11/Summary!$F$5),"")</x:f>
        <x:v>2.5153277786511556</x:v>
      </x:c>
      <x:c r="N11" s="12" t="n">
        <x:f>IF(AND(ISNUMBER(E11),E11&gt;=0,ISNUMBER(L11)),E11*L11,"")</x:f>
        <x:v>80</x:v>
      </x:c>
      <x:c r="O11" s="12" t="n">
        <x:f>IF(AND(ISNUMBER(E11),E11&gt;=0,ISNUMBER(M11)),E11*M11,"")</x:f>
        <x:v>2.5153277786511556</x:v>
      </x:c>
      <x:c r="P11" s="10" t="n">
        <x:f>IF(AND(ISNUMBER(E11),E11&gt;=0,ISNUMBER(J11),J11&gt;0,ISNUMBER(K11),K11&gt;=0),ROUNDUP(MAX(0,E11-K11)/J11,0),"")</x:f>
        <x:v>1</x:v>
      </x:c>
      <x:c r="Q11" s="12" t="n">
        <x:f>IF(AND(ISNUMBER(P11),ISNUMBER(L11)),P11*J11*L11,"")</x:f>
        <x:v>80</x:v>
      </x:c>
      <x:c r="R11" s="12" t="n">
        <x:f>IF(AND(ISNUMBER(P11),ISNUMBER(M11)),P11*J11*M11,"")</x:f>
        <x:v>2.5153277786511556</x:v>
      </x:c>
      <x:c r="S11" s="10" t="str">
        <x:v>Allowance</x:v>
      </x:c>
      <x:c r="T11" s="10" t="str"/>
      <x:c r="U11" s="10" t="str">
        <x:v>只接廠商核准5 V/GND；原理圖有TPS61023升壓架構，但電阻／電感值與供電餘裕缺失，不能保證電池模式5 V正常，也不可接GPIO/任意3.3 V。本清單不新增升壓模組。</x:v>
      </x:c>
      <x:c r="V11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11" s="10" t="str">
        <x:f>IF(AND(ISNUMBER(N11),ISNUMBER(Q11)),"OK","Missing")</x:f>
        <x:v>OK</x:v>
      </x:c>
    </x:row>
    <x:row r="12" ht="108" customHeight="1">
      <x:c r="A12" s="10" t="str">
        <x:v>S01</x:v>
      </x:c>
      <x:c r="B12" s="10" t="str">
        <x:v>0.8 mm 不透光矽膠片</x:v>
      </x:c>
      <x:c r="C12" s="10" t="str">
        <x:v>1張裁3件：下片外20×18，4孔各4×2.8、中心(±3.3,±2.65)；上環外18.4×15.6、內14.8×12；PD圈外4×4、內3×3.4 mm。庫存厚0.8、名義壓至0.6 mm（25%）。採購片材面積需容納3件並留裁切餘量。</x:v>
      </x:c>
      <x:c r="D12" s="10" t="str">
        <x:v>井口與氣蓋密封；PD周邊遮光。
下片Z55.5–56.1；上環Z57.3–57.9；PD圈Z40.5–41.1（名義壓縮後）。</x:v>
      </x:c>
      <x:c r="E12" s="10" t="n">
        <x:v>1</x:v>
      </x:c>
      <x:c r="F12" s="10" t="str">
        <x:v>sheet</x:v>
      </x:c>
      <x:c r="G12" s="10" t="str">
        <x:v>必要</x:v>
      </x:c>
      <x:c r="H12" s="14" t="n">
        <x:v>150</x:v>
      </x:c>
      <x:c r="I12" s="11" t="str">
        <x:v>NTD</x:v>
      </x:c>
      <x:c r="J12" s="11" t="n">
        <x:v>1</x:v>
      </x:c>
      <x:c r="K12" s="11" t="n">
        <x:v>0</x:v>
      </x:c>
      <x:c r="L12" s="12" t="n">
        <x:f>IF(AND(ISNUMBER(H12),H12&gt;=0,ISNUMBER(Summary!$F$5),Summary!$F$5&gt;0,OR(I12="NTD",I12="USD")),IF(I12="USD",H12*Summary!$F$5,H12),"")</x:f>
        <x:v>150</x:v>
      </x:c>
      <x:c r="M12" s="12" t="n">
        <x:f>IF(AND(ISNUMBER(H12),H12&gt;=0,ISNUMBER(Summary!$F$5),Summary!$F$5&gt;0,OR(I12="NTD",I12="USD")),IF(I12="USD",H12,H12/Summary!$F$5),"")</x:f>
        <x:v>4.716239584970917</x:v>
      </x:c>
      <x:c r="N12" s="12" t="n">
        <x:f>IF(AND(ISNUMBER(E12),E12&gt;=0,ISNUMBER(L12)),E12*L12,"")</x:f>
        <x:v>150</x:v>
      </x:c>
      <x:c r="O12" s="12" t="n">
        <x:f>IF(AND(ISNUMBER(E12),E12&gt;=0,ISNUMBER(M12)),E12*M12,"")</x:f>
        <x:v>4.716239584970917</x:v>
      </x:c>
      <x:c r="P12" s="10" t="n">
        <x:f>IF(AND(ISNUMBER(E12),E12&gt;=0,ISNUMBER(J12),J12&gt;0,ISNUMBER(K12),K12&gt;=0),ROUNDUP(MAX(0,E12-K12)/J12,0),"")</x:f>
        <x:v>1</x:v>
      </x:c>
      <x:c r="Q12" s="12" t="n">
        <x:f>IF(AND(ISNUMBER(P12),ISNUMBER(L12)),P12*J12*L12,"")</x:f>
        <x:v>150</x:v>
      </x:c>
      <x:c r="R12" s="12" t="n">
        <x:f>IF(AND(ISNUMBER(P12),ISNUMBER(M12)),P12*J12*M12,"")</x:f>
        <x:v>4.716239584970917</x:v>
      </x:c>
      <x:c r="S12" s="10" t="str">
        <x:v>Allowance</x:v>
      </x:c>
      <x:c r="T12" s="10" t="str"/>
      <x:c r="U12" s="10" t="str">
        <x:v>硬度、壓縮永久變形、厚度公差、VOC吸附／透過、清潔與细胞環境相容均待確認。PD圈最窄邊僅0.3 mm且光孔幾乎无對位餘量，必須依100% SVG核對切割與實PD光窗。片材黑色不等於已量測遮光或氣密。</x:v>
      </x:c>
      <x:c r="V12" s="10" t="str">
        <x:v>SEAL
0.8 mm selectable stock; exact price unavailable. NTD 150 per small sheet is an engineering allowance, not a verified selling price. Hardness and VOC compatibility unqualified.
https://www.ruten.com.tw/item/22517308416481/</x:v>
      </x:c>
      <x:c r="W12" s="10" t="str">
        <x:f>IF(AND(ISNUMBER(N12),ISNUMBER(Q12)),"OK","Missing")</x:f>
        <x:v>OK</x:v>
      </x:c>
    </x:row>
    <x:row r="13" ht="93" customHeight="1">
      <x:c r="A13" s="10" t="str">
        <x:v>E02</x:v>
      </x:c>
      <x:c r="B13" s="10" t="str">
        <x:v>USB-C 外部電源</x:v>
      </x:c>
      <x:c r="C13" s="10" t="str">
        <x:v>廠商確認的 USB-C 約 5 V 供電；市價參考為 5.1 V 3 A 含線材。此列不含電池。</x:v>
      </x:c>
      <x:c r="D13" s="10" t="str">
        <x:v>供應PCB電力；若採電池運作，須先確認充電與保護設定。
USB-C接J2；電池接J1 Battery_Case，按實物座與極性。</x:v>
      </x:c>
      <x:c r="E13" s="10" t="n">
        <x:v>1</x:v>
      </x:c>
      <x:c r="F13" s="10" t="str">
        <x:v>set</x:v>
      </x:c>
      <x:c r="G13" s="10" t="str">
        <x:v>必要</x:v>
      </x:c>
      <x:c r="H13" s="14" t="n">
        <x:v>8.74</x:v>
      </x:c>
      <x:c r="I13" s="11" t="str">
        <x:v>USD</x:v>
      </x:c>
      <x:c r="J13" s="11" t="n">
        <x:v>1</x:v>
      </x:c>
      <x:c r="K13" s="11" t="n">
        <x:v>0</x:v>
      </x:c>
      <x:c r="L13" s="12" t="n">
        <x:f>IF(AND(ISNUMBER(H13),H13&gt;=0,ISNUMBER(Summary!$F$5),Summary!$F$5&gt;0,OR(I13="NTD",I13="USD")),IF(I13="USD",H13*Summary!$F$5,H13),"")</x:f>
        <x:v>277.9757</x:v>
      </x:c>
      <x:c r="M13" s="12" t="n">
        <x:f>IF(AND(ISNUMBER(H13),H13&gt;=0,ISNUMBER(Summary!$F$5),Summary!$F$5&gt;0,OR(I13="NTD",I13="USD")),IF(I13="USD",H13,H13/Summary!$F$5),"")</x:f>
        <x:v>8.74</x:v>
      </x:c>
      <x:c r="N13" s="12" t="n">
        <x:f>IF(AND(ISNUMBER(E13),E13&gt;=0,ISNUMBER(L13)),E13*L13,"")</x:f>
        <x:v>277.9757</x:v>
      </x:c>
      <x:c r="O13" s="12" t="n">
        <x:f>IF(AND(ISNUMBER(E13),E13&gt;=0,ISNUMBER(M13)),E13*M13,"")</x:f>
        <x:v>8.74</x:v>
      </x:c>
      <x:c r="P13" s="10" t="n">
        <x:f>IF(AND(ISNUMBER(E13),E13&gt;=0,ISNUMBER(J13),J13&gt;0,ISNUMBER(K13),K13&gt;=0),ROUNDUP(MAX(0,E13-K13)/J13,0),"")</x:f>
        <x:v>1</x:v>
      </x:c>
      <x:c r="Q13" s="12" t="n">
        <x:f>IF(AND(ISNUMBER(P13),ISNUMBER(L13)),P13*J13*L13,"")</x:f>
        <x:v>277.9757</x:v>
      </x:c>
      <x:c r="R13" s="12" t="n">
        <x:f>IF(AND(ISNUMBER(P13),ISNUMBER(M13)),P13*J13*M13,"")</x:f>
        <x:v>8.74</x:v>
      </x:c>
      <x:c r="S13" s="10" t="str">
        <x:v>Proxy</x:v>
      </x:c>
      <x:c r="T13" s="10" t="str"/>
      <x:c r="U13" s="10" t="str">
        <x:v>原理圖J1接BAT/GND，但座尺寸、正負方向、充電設定R1–R3與TS支路R9值未提供。不得只憑照片指定18650、化學或保護型式。TPS61023輸出標5 V但R6/R8等值缺失，供電／風扇兩模式能力須廠商確認。</x:v>
      </x:c>
      <x:c r="V13" s="10" t="str">
        <x:v>POWER
USD 8.74, 5.1 V 3 A with cable. Price benchmark only; vendor must confirm input and charging configuration. Current budget uses external power, not an unconfirmed battery.
https://www.adafruit.com/product/4298</x:v>
      </x:c>
      <x:c r="W13" s="10" t="str">
        <x:f>IF(AND(ISNUMBER(N13),ISNUMBER(Q13)),"OK","Missing")</x:f>
        <x:v>OK</x:v>
      </x:c>
    </x:row>
    <x:row r="14" ht="123" customHeight="1">
      <x:c r="A14" s="10" t="str">
        <x:v>G01</x:v>
      </x:c>
      <x:c r="B14" s="10" t="str">
        <x:v>0.2 µm 疏水氣體濾器</x:v>
      </x:c>
      <x:c r="C14" s="10" t="str">
        <x:v>2個，進氣與排氣各1；氣體用疏水介質，孔徑0.2 µm。膜材、有效面積、外殼、接頭与MPN未定，不以液體針筒濾器名稱直接判相容。</x:v>
      </x:c>
      <x:c r="D14" s="10" t="str">
        <x:v>降低進氣／排氣粒子攜帶；不等於整機無菌保證。
進氣濾器在樣本與入口間；排氣濾器在出口與下游抽氣泵間。</x:v>
      </x:c>
      <x:c r="E14" s="10" t="n">
        <x:v>2</x:v>
      </x:c>
      <x:c r="F14" s="10" t="str">
        <x:v>pc</x:v>
      </x:c>
      <x:c r="G14" s="10" t="str">
        <x:v>必要</x:v>
      </x:c>
      <x:c r="H14" s="14" t="n">
        <x:v>0.95</x:v>
      </x:c>
      <x:c r="I14" s="11" t="str">
        <x:v>USD</x:v>
      </x:c>
      <x:c r="J14" s="11" t="n">
        <x:v>100</x:v>
      </x:c>
      <x:c r="K14" s="11" t="n">
        <x:v>0</x:v>
      </x:c>
      <x:c r="L14" s="12" t="n">
        <x:f>IF(AND(ISNUMBER(H14),H14&gt;=0,ISNUMBER(Summary!$F$5),Summary!$F$5&gt;0,OR(I14="NTD",I14="USD")),IF(I14="USD",H14*Summary!$F$5,H14),"")</x:f>
        <x:v>30.21475</x:v>
      </x:c>
      <x:c r="M14" s="12" t="n">
        <x:f>IF(AND(ISNUMBER(H14),H14&gt;=0,ISNUMBER(Summary!$F$5),Summary!$F$5&gt;0,OR(I14="NTD",I14="USD")),IF(I14="USD",H14,H14/Summary!$F$5),"")</x:f>
        <x:v>0.95</x:v>
      </x:c>
      <x:c r="N14" s="12" t="n">
        <x:f>IF(AND(ISNUMBER(E14),E14&gt;=0,ISNUMBER(L14)),E14*L14,"")</x:f>
        <x:v>60.4295</x:v>
      </x:c>
      <x:c r="O14" s="12" t="n">
        <x:f>IF(AND(ISNUMBER(E14),E14&gt;=0,ISNUMBER(M14)),E14*M14,"")</x:f>
        <x:v>1.9</x:v>
      </x:c>
      <x:c r="P14" s="10" t="n">
        <x:f>IF(AND(ISNUMBER(E14),E14&gt;=0,ISNUMBER(J14),J14&gt;0,ISNUMBER(K14),K14&gt;=0),ROUNDUP(MAX(0,E14-K14)/J14,0),"")</x:f>
        <x:v>1</x:v>
      </x:c>
      <x:c r="Q14" s="12" t="n">
        <x:f>IF(AND(ISNUMBER(P14),ISNUMBER(L14)),P14*J14*L14,"")</x:f>
        <x:v>3021.475</x:v>
      </x:c>
      <x:c r="R14" s="12" t="n">
        <x:f>IF(AND(ISNUMBER(P14),ISNUMBER(M14)),P14*J14*M14,"")</x:f>
        <x:v>95</x:v>
      </x:c>
      <x:c r="S14" s="10" t="str">
        <x:v>Proxy</x:v>
      </x:c>
      <x:c r="T14" s="10" t="str"/>
      <x:c r="U14" s="10" t="str">
        <x:v>需供應商提供3 mL/min附近空氣壓降、方向、耐壓、潤濕後狀況、接頭與清潔／滅菌資料，並實測目標VOC回收／延遲。0.2 µm不能宣稱不吸附VOC或絕對阻隔。 市價參考為 ANP1322 0.22 µm 非無菌品；不視為設計 0.2 µm 氣體濾器的合格替代。</x:v>
      </x:c>
      <x:c r="V14" s="10" t="str">
        <x:v>GASFILTER
USD 95 per 100. Hydrophobic PTFE, 13 mm, 0.22 um, NONSTERILE, air venting listed. Price proxy for 0.2 um gas-filter requirement, not certified sterile replacement. Two used per device; buying a box costs 100 filters.
https://www.gilson.com/default/catalog/product/view/id/1204/</x:v>
      </x:c>
      <x:c r="W14" s="10" t="str">
        <x:f>IF(AND(ISNUMBER(N14),ISNUMBER(Q14)),"OK","Missing")</x:f>
        <x:v>OK</x:v>
      </x:c>
    </x:row>
    <x:row r="15" ht="108" customHeight="1">
      <x:c r="A15" s="10" t="str">
        <x:v>G02</x:v>
      </x:c>
      <x:c r="B15" s="10" t="str">
        <x:v>PTFE 氣管</x:v>
      </x:c>
      <x:c r="C15" s="10" t="str">
        <x:v>候選內徑2.0／外徑3.0 mm；採購計價單位1 m，實際依最短所需路徑裁切，兩端用G03轉接。</x:v>
      </x:c>
      <x:c r="D15" s="10" t="str">
        <x:v>連接樣本、濾器與裝置，減少不必要的死體積。
裝置外部氣路及左右側槽附近；不得硬套列印接尾。</x:v>
      </x:c>
      <x:c r="E15" s="10" t="n">
        <x:v>1</x:v>
      </x:c>
      <x:c r="F15" s="10" t="str">
        <x:v>m</x:v>
      </x:c>
      <x:c r="G15" s="10" t="str">
        <x:v>必要</x:v>
      </x:c>
      <x:c r="H15" s="14" t="n">
        <x:v>200</x:v>
      </x:c>
      <x:c r="I15" s="11" t="str">
        <x:v>NTD</x:v>
      </x:c>
      <x:c r="J15" s="11" t="n">
        <x:v>1</x:v>
      </x:c>
      <x:c r="K15" s="11" t="n">
        <x:v>0</x:v>
      </x:c>
      <x:c r="L15" s="12" t="n">
        <x:f>IF(AND(ISNUMBER(H15),H15&gt;=0,ISNUMBER(Summary!$F$5),Summary!$F$5&gt;0,OR(I15="NTD",I15="USD")),IF(I15="USD",H15*Summary!$F$5,H15),"")</x:f>
        <x:v>200</x:v>
      </x:c>
      <x:c r="M15" s="12" t="n">
        <x:f>IF(AND(ISNUMBER(H15),H15&gt;=0,ISNUMBER(Summary!$F$5),Summary!$F$5&gt;0,OR(I15="NTD",I15="USD")),IF(I15="USD",H15,H15/Summary!$F$5),"")</x:f>
        <x:v>6.288319446627889</x:v>
      </x:c>
      <x:c r="N15" s="12" t="n">
        <x:f>IF(AND(ISNUMBER(E15),E15&gt;=0,ISNUMBER(L15)),E15*L15,"")</x:f>
        <x:v>200</x:v>
      </x:c>
      <x:c r="O15" s="12" t="n">
        <x:f>IF(AND(ISNUMBER(E15),E15&gt;=0,ISNUMBER(M15)),E15*M15,"")</x:f>
        <x:v>6.288319446627889</x:v>
      </x:c>
      <x:c r="P15" s="10" t="n">
        <x:f>IF(AND(ISNUMBER(E15),E15&gt;=0,ISNUMBER(J15),J15&gt;0,ISNUMBER(K15),K15&gt;=0),ROUNDUP(MAX(0,E15-K15)/J15,0),"")</x:f>
        <x:v>1</x:v>
      </x:c>
      <x:c r="Q15" s="12" t="n">
        <x:f>IF(AND(ISNUMBER(P15),ISNUMBER(L15)),P15*J15*L15,"")</x:f>
        <x:v>200</x:v>
      </x:c>
      <x:c r="R15" s="12" t="n">
        <x:f>IF(AND(ISNUMBER(P15),ISNUMBER(M15)),P15*J15*M15,"")</x:f>
        <x:v>6.288319446627889</x:v>
      </x:c>
      <x:c r="S15" s="10" t="str">
        <x:v>Allowance</x:v>
      </x:c>
      <x:c r="T15" s="10" t="str"/>
      <x:c r="U15" s="10" t="str">
        <x:v>PTFE管壁、彎曲半徑、供應商尺寸公差與VOC回收待確認。1 m內徑2 mm管內容積約3.14 mL；在3 mL/min時僅管路名義停留時間約63 s，不能把腔室約50 s t90當整管路反應時間。</x:v>
      </x:c>
      <x:c r="V15" s="10" t="str">
        <x:v>PTFE
Search listing USD 4.99; sold length not verified. NTD 200 per 1 m is a separate allowance. Printer-feed tubing is not qualified analytical tubing.
https://tinkersphere.com/3d-printer-parts-supplies/2015-ptfe-teflon-tube-2mm-id-3mm-od-for-175-mm-filament.html</x:v>
      </x:c>
      <x:c r="W15" s="10" t="str">
        <x:f>IF(AND(ISNUMBER(N15),ISNUMBER(Q15)),"OK","Missing")</x:f>
        <x:v>OK</x:v>
      </x:c>
    </x:row>
    <x:row r="16" ht="108" customHeight="1">
      <x:c r="A16" s="10" t="str">
        <x:v>G03</x:v>
      </x:c>
      <x:c r="B16" s="10" t="str">
        <x:v>軟管接段與接頭轉接件</x:v>
      </x:c>
      <x:c r="C16" s="10" t="str">
        <x:v>1組，至少包含2個列印接尾連接位置及所選濾器／PTFE所需轉接。列印尾外徑3.4、止滑環4.0、內孔2.4 mm；PTFE外徑3.0。軟管最終ID/OD、材質、長度及接頭規格待濾器選定與離板試接，不捏造已匹配型號。</x:v>
      </x:c>
      <x:c r="D16" s="10" t="str">
        <x:v>在硬PTFE／濾器與脆性列印管尾間形成可拆連接。
上蓋-X入口／+X出口，Y0、Z60.8；管線穿中殼左右側槽。</x:v>
      </x:c>
      <x:c r="E16" s="10" t="n">
        <x:v>1</x:v>
      </x:c>
      <x:c r="F16" s="10" t="str">
        <x:v>set</x:v>
      </x:c>
      <x:c r="G16" s="10" t="str">
        <x:v>必要</x:v>
      </x:c>
      <x:c r="H16" s="14" t="n">
        <x:v>150</x:v>
      </x:c>
      <x:c r="I16" s="11" t="str">
        <x:v>NTD</x:v>
      </x:c>
      <x:c r="J16" s="11" t="n">
        <x:v>1</x:v>
      </x:c>
      <x:c r="K16" s="11" t="n">
        <x:v>0</x:v>
      </x:c>
      <x:c r="L16" s="12" t="n">
        <x:f>IF(AND(ISNUMBER(H16),H16&gt;=0,ISNUMBER(Summary!$F$5),Summary!$F$5&gt;0,OR(I16="NTD",I16="USD")),IF(I16="USD",H16*Summary!$F$5,H16),"")</x:f>
        <x:v>150</x:v>
      </x:c>
      <x:c r="M16" s="12" t="n">
        <x:f>IF(AND(ISNUMBER(H16),H16&gt;=0,ISNUMBER(Summary!$F$5),Summary!$F$5&gt;0,OR(I16="NTD",I16="USD")),IF(I16="USD",H16,H16/Summary!$F$5),"")</x:f>
        <x:v>4.716239584970917</x:v>
      </x:c>
      <x:c r="N16" s="12" t="n">
        <x:f>IF(AND(ISNUMBER(E16),E16&gt;=0,ISNUMBER(L16)),E16*L16,"")</x:f>
        <x:v>150</x:v>
      </x:c>
      <x:c r="O16" s="12" t="n">
        <x:f>IF(AND(ISNUMBER(E16),E16&gt;=0,ISNUMBER(M16)),E16*M16,"")</x:f>
        <x:v>4.716239584970917</x:v>
      </x:c>
      <x:c r="P16" s="10" t="n">
        <x:f>IF(AND(ISNUMBER(E16),E16&gt;=0,ISNUMBER(J16),J16&gt;0,ISNUMBER(K16),K16&gt;=0),ROUNDUP(MAX(0,E16-K16)/J16,0),"")</x:f>
        <x:v>1</x:v>
      </x:c>
      <x:c r="Q16" s="12" t="n">
        <x:f>IF(AND(ISNUMBER(P16),ISNUMBER(L16)),P16*J16*L16,"")</x:f>
        <x:v>150</x:v>
      </x:c>
      <x:c r="R16" s="12" t="n">
        <x:f>IF(AND(ISNUMBER(P16),ISNUMBER(M16)),P16*J16*M16,"")</x:f>
        <x:v>4.716239584970917</x:v>
      </x:c>
      <x:c r="S16" s="10" t="str">
        <x:v>Allowance</x:v>
      </x:c>
      <x:c r="T16" s="10" t="str"/>
      <x:c r="U16" s="10" t="str">
        <x:v>套管需彈性跨4 mm環而不劈裂0.5 mm名義管壁；管尾外端到補強肋約4.8 mm，不能假設可套满10 mm。側槽7 mm高度，套管外徑與彎曲也須留間隙。先離板查拉脫、漏氣、材料VOC吸附及出口不堵塞。</x:v>
      </x:c>
      <x:c r="V16" s="10" t="str">
        <x:v>COUPLER
Related tubing listed USD 2.50 per metre. Budget NTD 150 includes short flexible couplers and matching adapters. Exact ID/OD, Luer interfaces and VOC recovery must be checked; no fit guarantee.
https://www.adafruit.com/product/4699</x:v>
      </x:c>
      <x:c r="W16" s="10" t="str">
        <x:f>IF(AND(ISNUMBER(N16),ISNUMBER(Q16)),"OK","Missing")</x:f>
        <x:v>OK</x:v>
      </x:c>
    </x:row>
    <x:row r="17" ht="138" customHeight="1">
      <x:c r="A17" s="10" t="str">
        <x:v>O01</x:v>
      </x:c>
      <x:c r="B17" s="10" t="str">
        <x:v>螢光發射濾光片</x:v>
      </x:c>
      <x:c r="C17" s="10" t="str">
        <x:v>1片，機構外形上限5.2×4.2×1.0 mm；座凹口5.4×4.4，通光孔4.8×3.8 mm，需有效覆蓋且無邊緣旁漏。光譜詢價提供LED峰值約468／模型470 nm、目標GCaMP／fluorescein綠光約520 nm，要求完整透射／阻擋及斜入射曲線。</x:v>
      </x:c>
      <x:c r="D17" s="10" t="str">
        <x:v>壓低保持同頻的激發光漏入PD，保留綠色螢光。
02中殼中央濾片座，底Z41.1，PD上方。</x:v>
      </x:c>
      <x:c r="E17" s="10" t="n">
        <x:v>1</x:v>
      </x:c>
      <x:c r="F17" s="10" t="str">
        <x:v>pc</x:v>
      </x:c>
      <x:c r="G17" s="10" t="str">
        <x:v>必要</x:v>
      </x:c>
      <x:c r="H17" s="14" t="n">
        <x:v>12000</x:v>
      </x:c>
      <x:c r="I17" s="11" t="str">
        <x:v>NTD</x:v>
      </x:c>
      <x:c r="J17" s="11" t="n">
        <x:v>1</x:v>
      </x:c>
      <x:c r="K17" s="11" t="n">
        <x:v>0</x:v>
      </x:c>
      <x:c r="L17" s="12" t="n">
        <x:f>IF(AND(ISNUMBER(H17),H17&gt;=0,ISNUMBER(Summary!$F$5),Summary!$F$5&gt;0,OR(I17="NTD",I17="USD")),IF(I17="USD",H17*Summary!$F$5,H17),"")</x:f>
        <x:v>12000</x:v>
      </x:c>
      <x:c r="M17" s="12" t="n">
        <x:f>IF(AND(ISNUMBER(H17),H17&gt;=0,ISNUMBER(Summary!$F$5),Summary!$F$5&gt;0,OR(I17="NTD",I17="USD")),IF(I17="USD",H17,H17/Summary!$F$5),"")</x:f>
        <x:v>377.2991667976733</x:v>
      </x:c>
      <x:c r="N17" s="12" t="n">
        <x:f>IF(AND(ISNUMBER(E17),E17&gt;=0,ISNUMBER(L17)),E17*L17,"")</x:f>
        <x:v>12000</x:v>
      </x:c>
      <x:c r="O17" s="12" t="n">
        <x:f>IF(AND(ISNUMBER(E17),E17&gt;=0,ISNUMBER(M17)),E17*M17,"")</x:f>
        <x:v>377.2991667976733</x:v>
      </x:c>
      <x:c r="P17" s="10" t="n">
        <x:f>IF(AND(ISNUMBER(E17),E17&gt;=0,ISNUMBER(J17),J17&gt;0,ISNUMBER(K17),K17&gt;=0),ROUNDUP(MAX(0,E17-K17)/J17,0),"")</x:f>
        <x:v>1</x:v>
      </x:c>
      <x:c r="Q17" s="12" t="n">
        <x:f>IF(AND(ISNUMBER(P17),ISNUMBER(L17)),P17*J17*L17,"")</x:f>
        <x:v>12000</x:v>
      </x:c>
      <x:c r="R17" s="12" t="n">
        <x:f>IF(AND(ISNUMBER(P17),ISNUMBER(M17)),P17*J17*M17,"")</x:f>
        <x:v>377.2991667976733</x:v>
      </x:c>
      <x:c r="S17" s="10" t="str">
        <x:v>Custom allowance</x:v>
      </x:c>
      <x:c r="T17" s="10" t="str"/>
      <x:c r="U17" s="10" t="str">
        <x:v>無已選MPN。現有模型在470/520 nm作OD3/4/5及綠光法線透過0.9的理想化比較，這只是設計研究目標，不是採購件規格證明。含大角度收光，須提供0–65°及更斜角的可用資料／限制；干涉濾片角移不能套用吸收片模型。切邊、鍍膜面向、平整／厚度与PD圈實裝待核對。</x:v>
      </x:c>
      <x:c r="V17" s="10" t="str">
        <x:v>OPTIC
USD 284, 12.5 mm diameter, substrate 2.00 +/-0.25 mm, mounted. Does NOT fit 5.2x4.2x1.0 mm seat. NTD 12000 is a custom thin-filter budget allowance, not a quote or available drop-in part. Cutting this stock part does not solve its thickness mismatch.
https://www.edmundoptics.com/p/520nm-cwl-125mm-dia-36nm-bandwidth-od-6-fluorescence-filter/21556/</x:v>
      </x:c>
      <x:c r="W17" s="10" t="str">
        <x:f>IF(AND(ISNUMBER(N17),ISNUMBER(Q17)),"OK","Missing")</x:f>
        <x:v>OK</x:v>
      </x:c>
    </x:row>
    <x:row r="18" ht="78" customHeight="1">
      <x:c r="A18" s="10" t="str">
        <x:v>P01</x:v>
      </x:c>
      <x:c r="B18" s="10" t="str">
        <x:v>3.3 V 邏輯 USB–UART 轉接器</x:v>
      </x:c>
      <x:c r="C18" s="10" t="str">
        <x:v>1個共用；TX/RX/GND、3.3 V訊號電平，非RS-232。需相容電腦驅動及燒錄速率；MPN未定，接線亦須含相容J3端子。</x:v>
      </x:c>
      <x:c r="D18" s="10" t="str">
        <x:v>燒錄ESP32並讀序列診斷。
接PCB J3；TX接板RX、RX接板TX、共地，J2正常供電。</x:v>
      </x:c>
      <x:c r="E18" s="10" t="n">
        <x:v>1</x:v>
      </x:c>
      <x:c r="F18" s="10" t="str">
        <x:v>pc</x:v>
      </x:c>
      <x:c r="G18" s="10" t="str">
        <x:v>開發者購買</x:v>
      </x:c>
      <x:c r="H18" s="14" t="n">
        <x:v>5.95</x:v>
      </x:c>
      <x:c r="I18" s="11" t="str">
        <x:v>USD</x:v>
      </x:c>
      <x:c r="J18" s="11" t="n">
        <x:v>1</x:v>
      </x:c>
      <x:c r="K18" s="11" t="n">
        <x:v>0</x:v>
      </x:c>
      <x:c r="L18" s="12" t="n">
        <x:f>IF(AND(ISNUMBER(H18),H18&gt;=0,ISNUMBER(Summary!$F$5),Summary!$F$5&gt;0,OR(I18="NTD",I18="USD")),IF(I18="USD",H18*Summary!$F$5,H18),"")</x:f>
        <x:v>189.23975000000002</x:v>
      </x:c>
      <x:c r="M18" s="12" t="n">
        <x:f>IF(AND(ISNUMBER(H18),H18&gt;=0,ISNUMBER(Summary!$F$5),Summary!$F$5&gt;0,OR(I18="NTD",I18="USD")),IF(I18="USD",H18,H18/Summary!$F$5),"")</x:f>
        <x:v>5.95</x:v>
      </x:c>
      <x:c r="N18" s="12" t="n">
        <x:f>IF(AND(ISNUMBER(E18),E18&gt;=0,ISNUMBER(L18)),E18*L18,"")</x:f>
        <x:v>189.23975000000002</x:v>
      </x:c>
      <x:c r="O18" s="12" t="n">
        <x:f>IF(AND(ISNUMBER(E18),E18&gt;=0,ISNUMBER(M18)),E18*M18,"")</x:f>
        <x:v>5.95</x:v>
      </x:c>
      <x:c r="P18" s="10" t="n">
        <x:f>IF(AND(ISNUMBER(E18),E18&gt;=0,ISNUMBER(J18),J18&gt;0,ISNUMBER(K18),K18&gt;=0),ROUNDUP(MAX(0,E18-K18)/J18,0),"")</x:f>
        <x:v>1</x:v>
      </x:c>
      <x:c r="Q18" s="12" t="n">
        <x:f>IF(AND(ISNUMBER(P18),ISNUMBER(L18)),P18*J18*L18,"")</x:f>
        <x:v>189.23975000000002</x:v>
      </x:c>
      <x:c r="R18" s="12" t="n">
        <x:f>IF(AND(ISNUMBER(P18),ISNUMBER(M18)),P18*J18*M18,"")</x:f>
        <x:v>5.95</x:v>
      </x:c>
      <x:c r="S18" s="10" t="str">
        <x:v>Listed</x:v>
      </x:c>
      <x:c r="T18" s="10" t="str"/>
      <x:c r="U18" s="10" t="str">
        <x:v>核對J3 pin1与實物端子間距；正常供電时轉接器VCC不接。J2沒有USB–UART資料橋，不可把5 V UART接ESP32。</x:v>
      </x:c>
      <x:c r="V18" s="10" t="str">
        <x:v>UART
USD 5.95 each. Signals 3.3 V; power wire 5 V. Leave VCC disconnected at J3. Cable and jumper wires separate.
https://www.adafruit.com/product/5335</x:v>
      </x:c>
      <x:c r="W18" s="10" t="str">
        <x:f>IF(AND(ISNUMBER(N18),ISNUMBER(Q18)),"OK","Missing")</x:f>
        <x:v>OK</x:v>
      </x:c>
    </x:row>
    <x:row r="19" ht="123" customHeight="1">
      <x:c r="A19" s="10" t="str">
        <x:v>L01</x:v>
      </x:c>
      <x:c r="B19" s="10" t="str">
        <x:v>抽氣、流量及壓力量測設備</x:v>
      </x:c>
      <x:c r="C19" s="10" t="str">
        <x:v>1組共用／借用：單一下游可控抽氣來源、能量測約3 mL/min的氣體流量計、壓力監測及獨立限壓。量程、解析度、校準條件、MPN與限壓值待確認；不新增第二個獨立推氣泵。</x:v>
      </x:c>
      <x:c r="D19" s="10" t="str">
        <x:v>供應可記錄的共用樣本氣流。
下游排氣濾器後接抽氣源，依實驗室核准排放。</x:v>
      </x:c>
      <x:c r="E19" s="10" t="n">
        <x:v>1</x:v>
      </x:c>
      <x:c r="F19" s="10" t="str">
        <x:v>set</x:v>
      </x:c>
      <x:c r="G19" s="10" t="str">
        <x:v>開發者購買</x:v>
      </x:c>
      <x:c r="H19" s="14" t="n">
        <x:v>5000</x:v>
      </x:c>
      <x:c r="I19" s="11" t="str">
        <x:v>NTD</x:v>
      </x:c>
      <x:c r="J19" s="11" t="n">
        <x:v>1</x:v>
      </x:c>
      <x:c r="K19" s="11" t="n">
        <x:v>0</x:v>
      </x:c>
      <x:c r="L19" s="12" t="n">
        <x:f>IF(AND(ISNUMBER(H19),H19&gt;=0,ISNUMBER(Summary!$F$5),Summary!$F$5&gt;0,OR(I19="NTD",I19="USD")),IF(I19="USD",H19*Summary!$F$5,H19),"")</x:f>
        <x:v>5000</x:v>
      </x:c>
      <x:c r="M19" s="12" t="n">
        <x:f>IF(AND(ISNUMBER(H19),H19&gt;=0,ISNUMBER(Summary!$F$5),Summary!$F$5&gt;0,OR(I19="NTD",I19="USD")),IF(I19="USD",H19,H19/Summary!$F$5),"")</x:f>
        <x:v>157.2079861656972</x:v>
      </x:c>
      <x:c r="N19" s="12" t="n">
        <x:f>IF(AND(ISNUMBER(E19),E19&gt;=0,ISNUMBER(L19)),E19*L19,"")</x:f>
        <x:v>5000</x:v>
      </x:c>
      <x:c r="O19" s="12" t="n">
        <x:f>IF(AND(ISNUMBER(E19),E19&gt;=0,ISNUMBER(M19)),E19*M19,"")</x:f>
        <x:v>157.2079861656972</x:v>
      </x:c>
      <x:c r="P19" s="10" t="n">
        <x:f>IF(AND(ISNUMBER(E19),E19&gt;=0,ISNUMBER(J19),J19&gt;0,ISNUMBER(K19),K19&gt;=0),ROUNDUP(MAX(0,E19-K19)/J19,0),"")</x:f>
        <x:v>1</x:v>
      </x:c>
      <x:c r="Q19" s="12" t="n">
        <x:f>IF(AND(ISNUMBER(P19),ISNUMBER(L19)),P19*J19*L19,"")</x:f>
        <x:v>5000</x:v>
      </x:c>
      <x:c r="R19" s="12" t="n">
        <x:f>IF(AND(ISNUMBER(P19),ISNUMBER(M19)),P19*J19*M19,"")</x:f>
        <x:v>157.2079861656972</x:v>
      </x:c>
      <x:c r="S19" s="10" t="str">
        <x:v>Allowance</x:v>
      </x:c>
      <x:c r="T19" s="10" t="str"/>
      <x:c r="U19" s="10" t="str">
        <x:v>3 mL/min是固定CAD條件式候選，非細胞安全流量證明。完整管路下量測，定常時進出流量按同溫壓換算一致；腔室CFD不含濾器／管線壓降。泵最大負壓不能直施密封井；導流板不是限壓器。</x:v>
      </x:c>
      <x:c r="V19" s="10" t="str">
        <x:v>PUMP
USD 7.95 for pump alone. 2.5 L/min, intermittent duty; NOT a selected 3 mL/min continuous source. NTD 5000 system allowance requires a qualified controlled source, bypass/regulation, pressure protection, fittings and supply. Borrow a suitable lab system first.
https://www.adafruit.com/product/4699</x:v>
      </x:c>
      <x:c r="W19" s="10" t="str">
        <x:f>IF(AND(ISNUMBER(N19),ISNUMBER(Q19)),"OK","Missing")</x:f>
        <x:v>OK</x:v>
      </x:c>
    </x:row>
    <x:row r="20" ht="123" customHeight="1">
      <x:c r="A20" s="10" t="str">
        <x:v>L02</x:v>
      </x:c>
      <x:c r="B20" s="10" t="str">
        <x:v>量測與組裝手工具</x:v>
      </x:c>
      <x:c r="C20" s="10" t="str">
        <x:v>游標卡尺、2.5 mm 內六角扳手、鑷子、小刀；各一組，優先借用。</x:v>
      </x:c>
      <x:c r="D20" s="10" t="str">
        <x:v>列印後清潔固化、尺寸核對與組裝。
工作台；耗材和工具不装入成品。</x:v>
      </x:c>
      <x:c r="E20" s="10" t="n">
        <x:v>1</x:v>
      </x:c>
      <x:c r="F20" s="10" t="str">
        <x:v>set</x:v>
      </x:c>
      <x:c r="G20" s="10" t="str">
        <x:v>開發者購買</x:v>
      </x:c>
      <x:c r="H20" s="14" t="n">
        <x:v>1500</x:v>
      </x:c>
      <x:c r="I20" s="11" t="str">
        <x:v>NTD</x:v>
      </x:c>
      <x:c r="J20" s="11" t="n">
        <x:v>1</x:v>
      </x:c>
      <x:c r="K20" s="11" t="n">
        <x:v>0</x:v>
      </x:c>
      <x:c r="L20" s="12" t="n">
        <x:f>IF(AND(ISNUMBER(H20),H20&gt;=0,ISNUMBER(Summary!$F$5),Summary!$F$5&gt;0,OR(I20="NTD",I20="USD")),IF(I20="USD",H20*Summary!$F$5,H20),"")</x:f>
        <x:v>1500</x:v>
      </x:c>
      <x:c r="M20" s="12" t="n">
        <x:f>IF(AND(ISNUMBER(H20),H20&gt;=0,ISNUMBER(Summary!$F$5),Summary!$F$5&gt;0,OR(I20="NTD",I20="USD")),IF(I20="USD",H20,H20/Summary!$F$5),"")</x:f>
        <x:v>47.16239584970916</x:v>
      </x:c>
      <x:c r="N20" s="12" t="n">
        <x:f>IF(AND(ISNUMBER(E20),E20&gt;=0,ISNUMBER(L20)),E20*L20,"")</x:f>
        <x:v>1500</x:v>
      </x:c>
      <x:c r="O20" s="12" t="n">
        <x:f>IF(AND(ISNUMBER(E20),E20&gt;=0,ISNUMBER(M20)),E20*M20,"")</x:f>
        <x:v>47.16239584970916</x:v>
      </x:c>
      <x:c r="P20" s="10" t="n">
        <x:f>IF(AND(ISNUMBER(E20),E20&gt;=0,ISNUMBER(J20),J20&gt;0,ISNUMBER(K20),K20&gt;=0),ROUNDUP(MAX(0,E20-K20)/J20,0),"")</x:f>
        <x:v>1</x:v>
      </x:c>
      <x:c r="Q20" s="12" t="n">
        <x:f>IF(AND(ISNUMBER(P20),ISNUMBER(L20)),P20*J20*L20,"")</x:f>
        <x:v>1500</x:v>
      </x:c>
      <x:c r="R20" s="12" t="n">
        <x:f>IF(AND(ISNUMBER(P20),ISNUMBER(M20)),P20*J20*M20,"")</x:f>
        <x:v>47.16239584970916</x:v>
      </x:c>
      <x:c r="S20" s="10" t="str">
        <x:v>Allowance</x:v>
      </x:c>
      <x:c r="T20" s="10" t="str"/>
      <x:c r="U20" s="10" t="str">
        <x:v>採用實際樹脂已驗證設定，無通用曝光或扭矩承諾。0.8 mm密封片／0.5 mm井底／細管孔须有可量測與清潔能力；既有設備仍列成本或借用，不視為免費。</x:v>
      </x:c>
      <x:c r="V20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0" s="10" t="str">
        <x:f>IF(AND(ISNUMBER(N20),ISNUMBER(Q20)),"OK","Missing")</x:f>
        <x:v>OK</x:v>
      </x:c>
    </x:row>
    <x:row r="21" ht="108" customHeight="1">
      <x:c r="A21" s="10" t="str">
        <x:v>L03</x:v>
      </x:c>
      <x:c r="B21" s="10" t="str">
        <x:v>螢光素鈉</x:v>
      </x:c>
      <x:c r="C21" s="10" t="str">
        <x:v>46970，100 g 一瓶市價；只需少量時優先借用有濃度與批號的原液。此列不含電錶。</x:v>
      </x:c>
      <x:c r="D21" s="10" t="str">
        <x:v>先做無細胞光學／混合／濃度測試与電性檢查，再決定细胞驗證。
驗證工作台／既有實驗室。</x:v>
      </x:c>
      <x:c r="E21" s="10" t="n">
        <x:v>1</x:v>
      </x:c>
      <x:c r="F21" s="10" t="str">
        <x:v>set</x:v>
      </x:c>
      <x:c r="G21" s="10" t="str">
        <x:v>開發者購買</x:v>
      </x:c>
      <x:c r="H21" s="14" t="n">
        <x:v>52.6</x:v>
      </x:c>
      <x:c r="I21" s="11" t="str">
        <x:v>USD</x:v>
      </x:c>
      <x:c r="J21" s="11" t="n">
        <x:v>1</x:v>
      </x:c>
      <x:c r="K21" s="11" t="n">
        <x:v>0</x:v>
      </x:c>
      <x:c r="L21" s="12" t="n">
        <x:f>IF(AND(ISNUMBER(H21),H21&gt;=0,ISNUMBER(Summary!$F$5),Summary!$F$5&gt;0,OR(I21="NTD",I21="USD")),IF(I21="USD",H21*Summary!$F$5,H21),"")</x:f>
        <x:v>1672.943</x:v>
      </x:c>
      <x:c r="M21" s="12" t="n">
        <x:f>IF(AND(ISNUMBER(H21),H21&gt;=0,ISNUMBER(Summary!$F$5),Summary!$F$5&gt;0,OR(I21="NTD",I21="USD")),IF(I21="USD",H21,H21/Summary!$F$5),"")</x:f>
        <x:v>52.6</x:v>
      </x:c>
      <x:c r="N21" s="12" t="n">
        <x:f>IF(AND(ISNUMBER(E21),E21&gt;=0,ISNUMBER(L21)),E21*L21,"")</x:f>
        <x:v>1672.943</x:v>
      </x:c>
      <x:c r="O21" s="12" t="n">
        <x:f>IF(AND(ISNUMBER(E21),E21&gt;=0,ISNUMBER(M21)),E21*M21,"")</x:f>
        <x:v>52.6</x:v>
      </x:c>
      <x:c r="P21" s="10" t="n">
        <x:f>IF(AND(ISNUMBER(E21),E21&gt;=0,ISNUMBER(J21),J21&gt;0,ISNUMBER(K21),K21&gt;=0),ROUNDUP(MAX(0,E21-K21)/J21,0),"")</x:f>
        <x:v>1</x:v>
      </x:c>
      <x:c r="Q21" s="12" t="n">
        <x:f>IF(AND(ISNUMBER(P21),ISNUMBER(L21)),P21*J21*L21,"")</x:f>
        <x:v>1672.943</x:v>
      </x:c>
      <x:c r="R21" s="12" t="n">
        <x:f>IF(AND(ISNUMBER(P21),ISNUMBER(M21)),P21*J21*M21,"")</x:f>
        <x:v>52.6</x:v>
      </x:c>
      <x:c r="S21" s="10" t="str">
        <x:v>Listed</x:v>
      </x:c>
      <x:c r="T21" s="10" t="str"/>
      <x:c r="U21" s="10" t="str">
        <x:v>標準stock濃度、溶劑pH與批號依實驗指南記錄；儀器頻寬／校準與探棒接點待確認。螢光標準不能證明GCaMP靈敏度、氣體t90或氣味辨識。</x:v>
      </x:c>
      <x:c r="V21" s="10" t="str">
        <x:v>DYE
USD 52.60 per 100 g. Budget includes whole bottle, not a fictitious single-well quantity. Prefer a documented laboratory aliquot. Not an assay-specific or GCaMP-certified standard.
https://www.sigmaaldrich.com/US/en/product/sigma/46970</x:v>
      </x:c>
      <x:c r="W21" s="10" t="str">
        <x:f>IF(AND(ISNUMBER(N21),ISNUMBER(Q21)),"OK","Missing")</x:f>
        <x:v>OK</x:v>
      </x:c>
    </x:row>
    <x:row r="22" ht="123" customHeight="1">
      <x:c r="A22" s="10" t="str">
        <x:v>P02</x:v>
      </x:c>
      <x:c r="B22" s="10" t="str">
        <x:v>USB 資料線與 UART 跳線</x:v>
      </x:c>
      <x:c r="C22" s="10" t="str">
        <x:v>一條適配轉接器的資料線與三條適配 J3 的訊號線。</x:v>
      </x:c>
      <x:c r="D22" s="10" t="str">
        <x:v>電腦接 P01，再接 J3。
機外共用設備</x:v>
      </x:c>
      <x:c r="E22" s="10" t="n">
        <x:v>1</x:v>
      </x:c>
      <x:c r="F22" s="10" t="str">
        <x:v>set</x:v>
      </x:c>
      <x:c r="G22" s="10" t="str">
        <x:v>開發者購買</x:v>
      </x:c>
      <x:c r="H22" s="14" t="n">
        <x:v>150</x:v>
      </x:c>
      <x:c r="I22" s="11" t="str">
        <x:v>NTD</x:v>
      </x:c>
      <x:c r="J22" s="11" t="n">
        <x:v>1</x:v>
      </x:c>
      <x:c r="K22" s="11" t="n">
        <x:v>0</x:v>
      </x:c>
      <x:c r="L22" s="12" t="n">
        <x:f>IF(AND(ISNUMBER(H22),H22&gt;=0,ISNUMBER(Summary!$F$5),Summary!$F$5&gt;0,OR(I22="NTD",I22="USD")),IF(I22="USD",H22*Summary!$F$5,H22),"")</x:f>
        <x:v>150</x:v>
      </x:c>
      <x:c r="M22" s="12" t="n">
        <x:f>IF(AND(ISNUMBER(H22),H22&gt;=0,ISNUMBER(Summary!$F$5),Summary!$F$5&gt;0,OR(I22="NTD",I22="USD")),IF(I22="USD",H22,H22/Summary!$F$5),"")</x:f>
        <x:v>4.716239584970917</x:v>
      </x:c>
      <x:c r="N22" s="12" t="n">
        <x:f>IF(AND(ISNUMBER(E22),E22&gt;=0,ISNUMBER(L22)),E22*L22,"")</x:f>
        <x:v>150</x:v>
      </x:c>
      <x:c r="O22" s="12" t="n">
        <x:f>IF(AND(ISNUMBER(E22),E22&gt;=0,ISNUMBER(M22)),E22*M22,"")</x:f>
        <x:v>4.716239584970917</x:v>
      </x:c>
      <x:c r="P22" s="10" t="n">
        <x:f>IF(AND(ISNUMBER(E22),E22&gt;=0,ISNUMBER(J22),J22&gt;0,ISNUMBER(K22),K22&gt;=0),ROUNDUP(MAX(0,E22-K22)/J22,0),"")</x:f>
        <x:v>1</x:v>
      </x:c>
      <x:c r="Q22" s="12" t="n">
        <x:f>IF(AND(ISNUMBER(P22),ISNUMBER(L22)),P22*J22*L22,"")</x:f>
        <x:v>150</x:v>
      </x:c>
      <x:c r="R22" s="12" t="n">
        <x:f>IF(AND(ISNUMBER(P22),ISNUMBER(M22)),P22*J22*M22,"")</x:f>
        <x:v>4.716239584970917</x:v>
      </x:c>
      <x:c r="S22" s="10" t="str">
        <x:v>Allowance</x:v>
      </x:c>
      <x:c r="T22" s="10" t="str"/>
      <x:c r="U22" s="10" t="str">
        <x:v>預算不是已確認的相容零件報價。可借用；確認型號後再買。</x:v>
      </x:c>
      <x:c r="V22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2" s="10" t="str">
        <x:f>IF(AND(ISNUMBER(N22),ISNUMBER(Q22)),"OK","Missing")</x:f>
        <x:v>OK</x:v>
      </x:c>
    </x:row>
    <x:row r="23" ht="108" customHeight="1">
      <x:c r="A23" s="10" t="str">
        <x:v>L04</x:v>
      </x:c>
      <x:c r="B23" s="10" t="str">
        <x:v>低流量氣體流量計</x:v>
      </x:c>
      <x:c r="C23" s="10" t="str">
        <x:v>可校準且可量測約 3 mL/min；不得以最低 10 mL/min 的流量計替代。</x:v>
      </x:c>
      <x:c r="D23" s="10" t="str">
        <x:v>量測完整管路實際流量；L01 不含此表。
機外共用設備</x:v>
      </x:c>
      <x:c r="E23" s="10" t="n">
        <x:v>1</x:v>
      </x:c>
      <x:c r="F23" s="10" t="str">
        <x:v>set</x:v>
      </x:c>
      <x:c r="G23" s="10" t="str">
        <x:v>開發者購買</x:v>
      </x:c>
      <x:c r="H23" s="14" t="n">
        <x:v>15000</x:v>
      </x:c>
      <x:c r="I23" s="11" t="str">
        <x:v>NTD</x:v>
      </x:c>
      <x:c r="J23" s="11" t="n">
        <x:v>1</x:v>
      </x:c>
      <x:c r="K23" s="11" t="n">
        <x:v>0</x:v>
      </x:c>
      <x:c r="L23" s="12" t="n">
        <x:f>IF(AND(ISNUMBER(H23),H23&gt;=0,ISNUMBER(Summary!$F$5),Summary!$F$5&gt;0,OR(I23="NTD",I23="USD")),IF(I23="USD",H23*Summary!$F$5,H23),"")</x:f>
        <x:v>15000</x:v>
      </x:c>
      <x:c r="M23" s="12" t="n">
        <x:f>IF(AND(ISNUMBER(H23),H23&gt;=0,ISNUMBER(Summary!$F$5),Summary!$F$5&gt;0,OR(I23="NTD",I23="USD")),IF(I23="USD",H23,H23/Summary!$F$5),"")</x:f>
        <x:v>471.6239584970917</x:v>
      </x:c>
      <x:c r="N23" s="12" t="n">
        <x:f>IF(AND(ISNUMBER(E23),E23&gt;=0,ISNUMBER(L23)),E23*L23,"")</x:f>
        <x:v>15000</x:v>
      </x:c>
      <x:c r="O23" s="12" t="n">
        <x:f>IF(AND(ISNUMBER(E23),E23&gt;=0,ISNUMBER(M23)),E23*M23,"")</x:f>
        <x:v>471.6239584970917</x:v>
      </x:c>
      <x:c r="P23" s="10" t="n">
        <x:f>IF(AND(ISNUMBER(E23),E23&gt;=0,ISNUMBER(J23),J23&gt;0,ISNUMBER(K23),K23&gt;=0),ROUNDUP(MAX(0,E23-K23)/J23,0),"")</x:f>
        <x:v>1</x:v>
      </x:c>
      <x:c r="Q23" s="12" t="n">
        <x:f>IF(AND(ISNUMBER(P23),ISNUMBER(L23)),P23*J23*L23,"")</x:f>
        <x:v>15000</x:v>
      </x:c>
      <x:c r="R23" s="12" t="n">
        <x:f>IF(AND(ISNUMBER(P23),ISNUMBER(M23)),P23*J23*M23,"")</x:f>
        <x:v>471.6239584970917</x:v>
      </x:c>
      <x:c r="S23" s="10" t="str">
        <x:v>Allowance</x:v>
      </x:c>
      <x:c r="T23" s="10" t="str"/>
      <x:c r="U23" s="10" t="str">
        <x:v>預算不是已確認的相容零件報價。可借用；確認型號後再買。</x:v>
      </x:c>
      <x:c r="V23" s="10" t="str">
        <x:v>FLOW
FL-320 nominal air range 0.02-15 cc/min. Historical price deliberately not treated as current. NTD 15000 is a planning allowance pending current calibrated meter quote; 3 mL/min must fall within usable range.
https://br.omega.com/omegaFiles/green/pdf/FL120.pdf</x:v>
      </x:c>
      <x:c r="W23" s="10" t="str">
        <x:f>IF(AND(ISNUMBER(N23),ISNUMBER(Q23)),"OK","Missing")</x:f>
        <x:v>OK</x:v>
      </x:c>
    </x:row>
    <x:row r="24" ht="123" customHeight="1">
      <x:c r="A24" s="10" t="str">
        <x:v>L05</x:v>
      </x:c>
      <x:c r="B24" s="10" t="str">
        <x:v>數位電錶</x:v>
      </x:c>
      <x:c r="C24" s="10" t="str">
        <x:v>DC V、電阻與導通；有絕緣探棒；低壓 PCB 使用。</x:v>
      </x:c>
      <x:c r="D24" s="10" t="str">
        <x:v>確認電源與接線。
機外共用設備</x:v>
      </x:c>
      <x:c r="E24" s="10" t="n">
        <x:v>1</x:v>
      </x:c>
      <x:c r="F24" s="10" t="str">
        <x:v>set</x:v>
      </x:c>
      <x:c r="G24" s="10" t="str">
        <x:v>開發者購買</x:v>
      </x:c>
      <x:c r="H24" s="14" t="n">
        <x:v>800</x:v>
      </x:c>
      <x:c r="I24" s="11" t="str">
        <x:v>NTD</x:v>
      </x:c>
      <x:c r="J24" s="11" t="n">
        <x:v>1</x:v>
      </x:c>
      <x:c r="K24" s="11" t="n">
        <x:v>0</x:v>
      </x:c>
      <x:c r="L24" s="12" t="n">
        <x:f>IF(AND(ISNUMBER(H24),H24&gt;=0,ISNUMBER(Summary!$F$5),Summary!$F$5&gt;0,OR(I24="NTD",I24="USD")),IF(I24="USD",H24*Summary!$F$5,H24),"")</x:f>
        <x:v>800</x:v>
      </x:c>
      <x:c r="M24" s="12" t="n">
        <x:f>IF(AND(ISNUMBER(H24),H24&gt;=0,ISNUMBER(Summary!$F$5),Summary!$F$5&gt;0,OR(I24="NTD",I24="USD")),IF(I24="USD",H24,H24/Summary!$F$5),"")</x:f>
        <x:v>25.153277786511556</x:v>
      </x:c>
      <x:c r="N24" s="12" t="n">
        <x:f>IF(AND(ISNUMBER(E24),E24&gt;=0,ISNUMBER(L24)),E24*L24,"")</x:f>
        <x:v>800</x:v>
      </x:c>
      <x:c r="O24" s="12" t="n">
        <x:f>IF(AND(ISNUMBER(E24),E24&gt;=0,ISNUMBER(M24)),E24*M24,"")</x:f>
        <x:v>25.153277786511556</x:v>
      </x:c>
      <x:c r="P24" s="10" t="n">
        <x:f>IF(AND(ISNUMBER(E24),E24&gt;=0,ISNUMBER(J24),J24&gt;0,ISNUMBER(K24),K24&gt;=0),ROUNDUP(MAX(0,E24-K24)/J24,0),"")</x:f>
        <x:v>1</x:v>
      </x:c>
      <x:c r="Q24" s="12" t="n">
        <x:f>IF(AND(ISNUMBER(P24),ISNUMBER(L24)),P24*J24*L24,"")</x:f>
        <x:v>800</x:v>
      </x:c>
      <x:c r="R24" s="12" t="n">
        <x:f>IF(AND(ISNUMBER(P24),ISNUMBER(M24)),P24*J24*M24,"")</x:f>
        <x:v>25.153277786511556</x:v>
      </x:c>
      <x:c r="S24" s="10" t="str">
        <x:v>Allowance</x:v>
      </x:c>
      <x:c r="T24" s="10" t="str"/>
      <x:c r="U24" s="10" t="str">
        <x:v>預算不是已確認的相容零件報價。可借用；確認型號後再買。</x:v>
      </x:c>
      <x:c r="V24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4" s="10" t="str">
        <x:f>IF(AND(ISNUMBER(N24),ISNUMBER(Q24)),"OK","Missing")</x:f>
        <x:v>OK</x:v>
      </x:c>
    </x:row>
    <x:row r="25" ht="123" customHeight="1">
      <x:c r="A25" s="10" t="str">
        <x:v>L06</x:v>
      </x:c>
      <x:c r="B25" s="10" t="str">
        <x:v>示波器</x:v>
      </x:c>
      <x:c r="C25" s="10" t="str">
        <x:v>至少雙通道、相容 3.3 V 邏輯的探棒；優先借實驗室設備。</x:v>
      </x:c>
      <x:c r="D25" s="10" t="str">
        <x:v>檢查 LED PWM、CONVST 與取樣時序。
機外共用設備</x:v>
      </x:c>
      <x:c r="E25" s="10" t="n">
        <x:v>1</x:v>
      </x:c>
      <x:c r="F25" s="10" t="str">
        <x:v>set</x:v>
      </x:c>
      <x:c r="G25" s="10" t="str">
        <x:v>開發者購買</x:v>
      </x:c>
      <x:c r="H25" s="14" t="n">
        <x:v>10000</x:v>
      </x:c>
      <x:c r="I25" s="11" t="str">
        <x:v>NTD</x:v>
      </x:c>
      <x:c r="J25" s="11" t="n">
        <x:v>1</x:v>
      </x:c>
      <x:c r="K25" s="11" t="n">
        <x:v>0</x:v>
      </x:c>
      <x:c r="L25" s="12" t="n">
        <x:f>IF(AND(ISNUMBER(H25),H25&gt;=0,ISNUMBER(Summary!$F$5),Summary!$F$5&gt;0,OR(I25="NTD",I25="USD")),IF(I25="USD",H25*Summary!$F$5,H25),"")</x:f>
        <x:v>10000</x:v>
      </x:c>
      <x:c r="M25" s="12" t="n">
        <x:f>IF(AND(ISNUMBER(H25),H25&gt;=0,ISNUMBER(Summary!$F$5),Summary!$F$5&gt;0,OR(I25="NTD",I25="USD")),IF(I25="USD",H25,H25/Summary!$F$5),"")</x:f>
        <x:v>314.4159723313944</x:v>
      </x:c>
      <x:c r="N25" s="12" t="n">
        <x:f>IF(AND(ISNUMBER(E25),E25&gt;=0,ISNUMBER(L25)),E25*L25,"")</x:f>
        <x:v>10000</x:v>
      </x:c>
      <x:c r="O25" s="12" t="n">
        <x:f>IF(AND(ISNUMBER(E25),E25&gt;=0,ISNUMBER(M25)),E25*M25,"")</x:f>
        <x:v>314.4159723313944</x:v>
      </x:c>
      <x:c r="P25" s="10" t="n">
        <x:f>IF(AND(ISNUMBER(E25),E25&gt;=0,ISNUMBER(J25),J25&gt;0,ISNUMBER(K25),K25&gt;=0),ROUNDUP(MAX(0,E25-K25)/J25,0),"")</x:f>
        <x:v>1</x:v>
      </x:c>
      <x:c r="Q25" s="12" t="n">
        <x:f>IF(AND(ISNUMBER(P25),ISNUMBER(L25)),P25*J25*L25,"")</x:f>
        <x:v>10000</x:v>
      </x:c>
      <x:c r="R25" s="12" t="n">
        <x:f>IF(AND(ISNUMBER(P25),ISNUMBER(M25)),P25*J25*M25,"")</x:f>
        <x:v>314.4159723313944</x:v>
      </x:c>
      <x:c r="S25" s="10" t="str">
        <x:v>Allowance</x:v>
      </x:c>
      <x:c r="T25" s="10" t="str"/>
      <x:c r="U25" s="10" t="str">
        <x:v>預算不是已確認的相容零件報價。可借用；確認型號後再買。</x:v>
      </x:c>
      <x:c r="V25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5" s="10" t="str">
        <x:f>IF(AND(ISNUMBER(N25),ISNUMBER(Q25)),"OK","Missing")</x:f>
        <x:v>OK</x:v>
      </x:c>
    </x:row>
    <x:row r="26" ht="123" customHeight="1">
      <x:c r="A26" s="10" t="str">
        <x:v>L07</x:v>
      </x:c>
      <x:c r="B26" s="10" t="str">
        <x:v>微量移液器與吸頭</x:v>
      </x:c>
      <x:c r="C26" s="10" t="str">
        <x:v>量程涵蓋 80 µL，經校驗；含適配吸頭一盒。</x:v>
      </x:c>
      <x:c r="D26" s="10" t="str">
        <x:v>控制每井填充量。
機外共用設備</x:v>
      </x:c>
      <x:c r="E26" s="10" t="n">
        <x:v>1</x:v>
      </x:c>
      <x:c r="F26" s="10" t="str">
        <x:v>set</x:v>
      </x:c>
      <x:c r="G26" s="10" t="str">
        <x:v>開發者購買</x:v>
      </x:c>
      <x:c r="H26" s="14" t="n">
        <x:v>4000</x:v>
      </x:c>
      <x:c r="I26" s="11" t="str">
        <x:v>NTD</x:v>
      </x:c>
      <x:c r="J26" s="11" t="n">
        <x:v>1</x:v>
      </x:c>
      <x:c r="K26" s="11" t="n">
        <x:v>0</x:v>
      </x:c>
      <x:c r="L26" s="12" t="n">
        <x:f>IF(AND(ISNUMBER(H26),H26&gt;=0,ISNUMBER(Summary!$F$5),Summary!$F$5&gt;0,OR(I26="NTD",I26="USD")),IF(I26="USD",H26*Summary!$F$5,H26),"")</x:f>
        <x:v>4000</x:v>
      </x:c>
      <x:c r="M26" s="12" t="n">
        <x:f>IF(AND(ISNUMBER(H26),H26&gt;=0,ISNUMBER(Summary!$F$5),Summary!$F$5&gt;0,OR(I26="NTD",I26="USD")),IF(I26="USD",H26,H26/Summary!$F$5),"")</x:f>
        <x:v>125.76638893255777</x:v>
      </x:c>
      <x:c r="N26" s="12" t="n">
        <x:f>IF(AND(ISNUMBER(E26),E26&gt;=0,ISNUMBER(L26)),E26*L26,"")</x:f>
        <x:v>4000</x:v>
      </x:c>
      <x:c r="O26" s="12" t="n">
        <x:f>IF(AND(ISNUMBER(E26),E26&gt;=0,ISNUMBER(M26)),E26*M26,"")</x:f>
        <x:v>125.76638893255777</x:v>
      </x:c>
      <x:c r="P26" s="10" t="n">
        <x:f>IF(AND(ISNUMBER(E26),E26&gt;=0,ISNUMBER(J26),J26&gt;0,ISNUMBER(K26),K26&gt;=0),ROUNDUP(MAX(0,E26-K26)/J26,0),"")</x:f>
        <x:v>1</x:v>
      </x:c>
      <x:c r="Q26" s="12" t="n">
        <x:f>IF(AND(ISNUMBER(P26),ISNUMBER(L26)),P26*J26*L26,"")</x:f>
        <x:v>4000</x:v>
      </x:c>
      <x:c r="R26" s="12" t="n">
        <x:f>IF(AND(ISNUMBER(P26),ISNUMBER(M26)),P26*J26*M26,"")</x:f>
        <x:v>125.76638893255777</x:v>
      </x:c>
      <x:c r="S26" s="10" t="str">
        <x:v>Allowance</x:v>
      </x:c>
      <x:c r="T26" s="10" t="str"/>
      <x:c r="U26" s="10" t="str">
        <x:v>預算不是已確認的相容零件報價。可借用；確認型號後再買。</x:v>
      </x:c>
      <x:c r="V26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6" s="10" t="str">
        <x:f>IF(AND(ISNUMBER(N26),ISNUMBER(Q26)),"OK","Missing")</x:f>
        <x:v>OK</x:v>
      </x:c>
    </x:row>
    <x:row r="27" ht="123" customHeight="1">
      <x:c r="A27" s="10" t="str">
        <x:v>L08</x:v>
      </x:c>
      <x:c r="B27" s="10" t="str">
        <x:v>清洗與後固化耗材</x:v>
      </x:c>
      <x:c r="C27" s="10" t="str">
        <x:v>少量原廠允許清洗液、手套、無塵擦拭物；既有列印與固化設備不重購。</x:v>
      </x:c>
      <x:c r="D27" s="10" t="str">
        <x:v>列印後處理；未包含細胞培養耗材。
機外共用設備</x:v>
      </x:c>
      <x:c r="E27" s="10" t="n">
        <x:v>1</x:v>
      </x:c>
      <x:c r="F27" s="10" t="str">
        <x:v>set</x:v>
      </x:c>
      <x:c r="G27" s="10" t="str">
        <x:v>開發者購買</x:v>
      </x:c>
      <x:c r="H27" s="14" t="n">
        <x:v>300</x:v>
      </x:c>
      <x:c r="I27" s="11" t="str">
        <x:v>NTD</x:v>
      </x:c>
      <x:c r="J27" s="11" t="n">
        <x:v>1</x:v>
      </x:c>
      <x:c r="K27" s="11" t="n">
        <x:v>0</x:v>
      </x:c>
      <x:c r="L27" s="12" t="n">
        <x:f>IF(AND(ISNUMBER(H27),H27&gt;=0,ISNUMBER(Summary!$F$5),Summary!$F$5&gt;0,OR(I27="NTD",I27="USD")),IF(I27="USD",H27*Summary!$F$5,H27),"")</x:f>
        <x:v>300</x:v>
      </x:c>
      <x:c r="M27" s="12" t="n">
        <x:f>IF(AND(ISNUMBER(H27),H27&gt;=0,ISNUMBER(Summary!$F$5),Summary!$F$5&gt;0,OR(I27="NTD",I27="USD")),IF(I27="USD",H27,H27/Summary!$F$5),"")</x:f>
        <x:v>9.432479169941834</x:v>
      </x:c>
      <x:c r="N27" s="12" t="n">
        <x:f>IF(AND(ISNUMBER(E27),E27&gt;=0,ISNUMBER(L27)),E27*L27,"")</x:f>
        <x:v>300</x:v>
      </x:c>
      <x:c r="O27" s="12" t="n">
        <x:f>IF(AND(ISNUMBER(E27),E27&gt;=0,ISNUMBER(M27)),E27*M27,"")</x:f>
        <x:v>9.432479169941834</x:v>
      </x:c>
      <x:c r="P27" s="10" t="n">
        <x:f>IF(AND(ISNUMBER(E27),E27&gt;=0,ISNUMBER(J27),J27&gt;0,ISNUMBER(K27),K27&gt;=0),ROUNDUP(MAX(0,E27-K27)/J27,0),"")</x:f>
        <x:v>1</x:v>
      </x:c>
      <x:c r="Q27" s="12" t="n">
        <x:f>IF(AND(ISNUMBER(P27),ISNUMBER(L27)),P27*J27*L27,"")</x:f>
        <x:v>300</x:v>
      </x:c>
      <x:c r="R27" s="12" t="n">
        <x:f>IF(AND(ISNUMBER(P27),ISNUMBER(M27)),P27*J27*M27,"")</x:f>
        <x:v>9.432479169941834</x:v>
      </x:c>
      <x:c r="S27" s="10" t="str">
        <x:v>Allowance</x:v>
      </x:c>
      <x:c r="T27" s="10" t="str"/>
      <x:c r="U27" s="10" t="str">
        <x:v>預算不是已確認的相容零件報價。可借用；確認型號後再買。</x:v>
      </x:c>
      <x:c r="V27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27" s="10" t="str">
        <x:f>IF(AND(ISNUMBER(N27),ISNUMBER(Q27)),"OK","Missing")</x:f>
        <x:v>OK</x:v>
      </x:c>
    </x:row>
    <x:row r="28" ht="108" customHeight="1">
      <x:c r="A28" s="10" t="str">
        <x:v>FUT01</x:v>
      </x:c>
      <x:c r="B28" s="10" t="str">
        <x:v>PDMS 膜研究材料</x:v>
      </x:c>
      <x:c r="C28" s="10" t="str">
        <x:v>SYLGARD 184 0.5 kg kit 與基本成膜耗材；厚度與配比待實驗。</x:v>
      </x:c>
      <x:c r="D28" s="10" t="str">
        <x:v>未來 VOC 傳輸與選擇性研究；非現行組裝。
未整合至本機</x:v>
      </x:c>
      <x:c r="E28" s="10" t="n">
        <x:v>1</x:v>
      </x:c>
      <x:c r="F28" s="10" t="str">
        <x:v>set</x:v>
      </x:c>
      <x:c r="G28" s="10" t="str">
        <x:v>未來展望</x:v>
      </x:c>
      <x:c r="H28" s="14" t="n">
        <x:v>6000</x:v>
      </x:c>
      <x:c r="I28" s="11" t="str">
        <x:v>NTD</x:v>
      </x:c>
      <x:c r="J28" s="11" t="n">
        <x:v>1</x:v>
      </x:c>
      <x:c r="K28" s="11" t="n">
        <x:v>0</x:v>
      </x:c>
      <x:c r="L28" s="12" t="n">
        <x:f>IF(AND(ISNUMBER(H28),H28&gt;=0,ISNUMBER(Summary!$F$5),Summary!$F$5&gt;0,OR(I28="NTD",I28="USD")),IF(I28="USD",H28*Summary!$F$5,H28),"")</x:f>
        <x:v>6000</x:v>
      </x:c>
      <x:c r="M28" s="12" t="n">
        <x:f>IF(AND(ISNUMBER(H28),H28&gt;=0,ISNUMBER(Summary!$F$5),Summary!$F$5&gt;0,OR(I28="NTD",I28="USD")),IF(I28="USD",H28,H28/Summary!$F$5),"")</x:f>
        <x:v>188.64958339883665</x:v>
      </x:c>
      <x:c r="N28" s="12" t="n">
        <x:f>IF(AND(ISNUMBER(E28),E28&gt;=0,ISNUMBER(L28)),E28*L28,"")</x:f>
        <x:v>6000</x:v>
      </x:c>
      <x:c r="O28" s="12" t="n">
        <x:f>IF(AND(ISNUMBER(E28),E28&gt;=0,ISNUMBER(M28)),E28*M28,"")</x:f>
        <x:v>188.64958339883665</x:v>
      </x:c>
      <x:c r="P28" s="10" t="n">
        <x:f>IF(AND(ISNUMBER(E28),E28&gt;=0,ISNUMBER(J28),J28&gt;0,ISNUMBER(K28),K28&gt;=0),ROUNDUP(MAX(0,E28-K28)/J28,0),"")</x:f>
        <x:v>1</x:v>
      </x:c>
      <x:c r="Q28" s="12" t="n">
        <x:f>IF(AND(ISNUMBER(P28),ISNUMBER(L28)),P28*J28*L28,"")</x:f>
        <x:v>6000</x:v>
      </x:c>
      <x:c r="R28" s="12" t="n">
        <x:f>IF(AND(ISNUMBER(P28),ISNUMBER(M28)),P28*J28*M28,"")</x:f>
        <x:v>188.64958339883665</x:v>
      </x:c>
      <x:c r="S28" s="10" t="str">
        <x:v>Allowance</x:v>
      </x:c>
      <x:c r="T28" s="10" t="str"/>
      <x:c r="U28" s="10" t="str">
        <x:v>預算不是已確認的相容零件報價。可借用；確認型號後再買。</x:v>
      </x:c>
      <x:c r="V28" s="10" t="str">
        <x:v>PDMS
Kit identity found; current public price not verified. NTD 6000 planning allowance for kit and basic casting consumables. No claim that PDMS removes water selectively.
https://labproinc.com/products/dow-sylgard-184-silicone-encapsulant-clear-0-5-kg-kit-184-sil-elast-kit-0-5kg</x:v>
      </x:c>
      <x:c r="W28" s="10" t="str">
        <x:f>IF(AND(ISNUMBER(N28),ISNUMBER(Q28)),"OK","Missing")</x:f>
        <x:v>OK</x:v>
      </x:c>
    </x:row>
    <x:row r="29" ht="108" customHeight="1">
      <x:c r="A29" s="10" t="str">
        <x:v>FUT02</x:v>
      </x:c>
      <x:c r="B29" s="10" t="str">
        <x:v>氣閥與驅動材料</x:v>
      </x:c>
      <x:c r="C29" s="10" t="str">
        <x:v>6 V FA0520E 價格參考；含驅動、續流二極體、電源與轉接預算。</x:v>
      </x:c>
      <x:c r="D29" s="10" t="str">
        <x:v>未來自動換氣；目前 UI 與 PCB 未支援。
未整合至本機</x:v>
      </x:c>
      <x:c r="E29" s="10" t="n">
        <x:v>1</x:v>
      </x:c>
      <x:c r="F29" s="10" t="str">
        <x:v>set</x:v>
      </x:c>
      <x:c r="G29" s="10" t="str">
        <x:v>未來展望</x:v>
      </x:c>
      <x:c r="H29" s="14" t="n">
        <x:v>500</x:v>
      </x:c>
      <x:c r="I29" s="11" t="str">
        <x:v>NTD</x:v>
      </x:c>
      <x:c r="J29" s="11" t="n">
        <x:v>1</x:v>
      </x:c>
      <x:c r="K29" s="11" t="n">
        <x:v>0</x:v>
      </x:c>
      <x:c r="L29" s="12" t="n">
        <x:f>IF(AND(ISNUMBER(H29),H29&gt;=0,ISNUMBER(Summary!$F$5),Summary!$F$5&gt;0,OR(I29="NTD",I29="USD")),IF(I29="USD",H29*Summary!$F$5,H29),"")</x:f>
        <x:v>500</x:v>
      </x:c>
      <x:c r="M29" s="12" t="n">
        <x:f>IF(AND(ISNUMBER(H29),H29&gt;=0,ISNUMBER(Summary!$F$5),Summary!$F$5&gt;0,OR(I29="NTD",I29="USD")),IF(I29="USD",H29,H29/Summary!$F$5),"")</x:f>
        <x:v>15.720798616569722</x:v>
      </x:c>
      <x:c r="N29" s="12" t="n">
        <x:f>IF(AND(ISNUMBER(E29),E29&gt;=0,ISNUMBER(L29)),E29*L29,"")</x:f>
        <x:v>500</x:v>
      </x:c>
      <x:c r="O29" s="12" t="n">
        <x:f>IF(AND(ISNUMBER(E29),E29&gt;=0,ISNUMBER(M29)),E29*M29,"")</x:f>
        <x:v>15.720798616569722</x:v>
      </x:c>
      <x:c r="P29" s="10" t="n">
        <x:f>IF(AND(ISNUMBER(E29),E29&gt;=0,ISNUMBER(J29),J29&gt;0,ISNUMBER(K29),K29&gt;=0),ROUNDUP(MAX(0,E29-K29)/J29,0),"")</x:f>
        <x:v>1</x:v>
      </x:c>
      <x:c r="Q29" s="12" t="n">
        <x:f>IF(AND(ISNUMBER(P29),ISNUMBER(L29)),P29*J29*L29,"")</x:f>
        <x:v>500</x:v>
      </x:c>
      <x:c r="R29" s="12" t="n">
        <x:f>IF(AND(ISNUMBER(P29),ISNUMBER(M29)),P29*J29*M29,"")</x:f>
        <x:v>15.720798616569722</x:v>
      </x:c>
      <x:c r="S29" s="10" t="str">
        <x:v>Allowance</x:v>
      </x:c>
      <x:c r="T29" s="10" t="str"/>
      <x:c r="U29" s="10" t="str">
        <x:v>預算不是已確認的相容零件報價。可借用；確認型號後再買。</x:v>
      </x:c>
      <x:c r="V29" s="10" t="str">
        <x:v>VALVE
USD 2.95 for 6 V valve alone. NTD 500 system allowance includes driver, flyback diode, supply and fittings. Future only; VOC wetted-material suitability and firmware support unverified.
https://www.adafruit.com/product/4663</x:v>
      </x:c>
      <x:c r="W29" s="10" t="str">
        <x:f>IF(AND(ISNUMBER(N29),ISNUMBER(Q29)),"OK","Missing")</x:f>
        <x:v>OK</x:v>
      </x:c>
    </x:row>
    <x:row r="30" ht="123" customHeight="1">
      <x:c r="A30" s="10" t="str">
        <x:v>FUT03</x:v>
      </x:c>
      <x:c r="B30" s="10" t="str">
        <x:v>環境感測開發材料</x:v>
      </x:c>
      <x:c r="C30" s="10" t="str">
        <x:v>溫濕度感測模組與配線預算；不含加熱器、CO2 控制或培養箱。</x:v>
      </x:c>
      <x:c r="D30" s="10" t="str">
        <x:v>未來環境監测；不代表已有細胞環境控制。
未整合至本機</x:v>
      </x:c>
      <x:c r="E30" s="10" t="n">
        <x:v>1</x:v>
      </x:c>
      <x:c r="F30" s="10" t="str">
        <x:v>set</x:v>
      </x:c>
      <x:c r="G30" s="10" t="str">
        <x:v>未來展望</x:v>
      </x:c>
      <x:c r="H30" s="14" t="n">
        <x:v>1000</x:v>
      </x:c>
      <x:c r="I30" s="11" t="str">
        <x:v>NTD</x:v>
      </x:c>
      <x:c r="J30" s="11" t="n">
        <x:v>1</x:v>
      </x:c>
      <x:c r="K30" s="11" t="n">
        <x:v>0</x:v>
      </x:c>
      <x:c r="L30" s="12" t="n">
        <x:f>IF(AND(ISNUMBER(H30),H30&gt;=0,ISNUMBER(Summary!$F$5),Summary!$F$5&gt;0,OR(I30="NTD",I30="USD")),IF(I30="USD",H30*Summary!$F$5,H30),"")</x:f>
        <x:v>1000</x:v>
      </x:c>
      <x:c r="M30" s="12" t="n">
        <x:f>IF(AND(ISNUMBER(H30),H30&gt;=0,ISNUMBER(Summary!$F$5),Summary!$F$5&gt;0,OR(I30="NTD",I30="USD")),IF(I30="USD",H30,H30/Summary!$F$5),"")</x:f>
        <x:v>31.441597233139444</x:v>
      </x:c>
      <x:c r="N30" s="12" t="n">
        <x:f>IF(AND(ISNUMBER(E30),E30&gt;=0,ISNUMBER(L30)),E30*L30,"")</x:f>
        <x:v>1000</x:v>
      </x:c>
      <x:c r="O30" s="12" t="n">
        <x:f>IF(AND(ISNUMBER(E30),E30&gt;=0,ISNUMBER(M30)),E30*M30,"")</x:f>
        <x:v>31.441597233139444</x:v>
      </x:c>
      <x:c r="P30" s="10" t="n">
        <x:f>IF(AND(ISNUMBER(E30),E30&gt;=0,ISNUMBER(J30),J30&gt;0,ISNUMBER(K30),K30&gt;=0),ROUNDUP(MAX(0,E30-K30)/J30,0),"")</x:f>
        <x:v>1</x:v>
      </x:c>
      <x:c r="Q30" s="12" t="n">
        <x:f>IF(AND(ISNUMBER(P30),ISNUMBER(L30)),P30*J30*L30,"")</x:f>
        <x:v>1000</x:v>
      </x:c>
      <x:c r="R30" s="12" t="n">
        <x:f>IF(AND(ISNUMBER(P30),ISNUMBER(M30)),P30*J30*M30,"")</x:f>
        <x:v>31.441597233139444</x:v>
      </x:c>
      <x:c r="S30" s="10" t="str">
        <x:v>Allowance</x:v>
      </x:c>
      <x:c r="T30" s="10" t="str"/>
      <x:c r="U30" s="10" t="str">
        <x:v>預算不是已確認的相容零件報價。可借用；確認型號後再買。</x:v>
      </x:c>
      <x:c r="V30" s="10" t="str">
        <x:v>TOOLS
Engineering allowances only: hand tools/calipers NTD 1500; DMM 800; scope 10000; pipette/tips 4000; print/post-cure supplies 300. Borrow existing printer, wash/cure equipment, PC, phone, biosafety/cell facilities. Their capital replacement prices are outside this BOM.
</x:v>
      </x:c>
      <x:c r="W30" s="10" t="str">
        <x:f>IF(AND(ISNUMBER(N30),ISNUMBER(Q30)),"OK","Missing")</x:f>
        <x:v>OK</x:v>
      </x:c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7" hidden="0" customWidth="1"/>
    <x:col min="2" max="2" width="23" hidden="0" customWidth="1"/>
    <x:col min="3" max="3" width="22" hidden="0" customWidth="1"/>
    <x:col min="4" max="4" width="8" hidden="0" customWidth="1"/>
    <x:col min="5" max="5" width="27" hidden="0" customWidth="1"/>
    <x:col min="6" max="6" width="44" hidden="0" customWidth="1"/>
    <x:col min="7" max="7" width="35" hidden="0" customWidth="1"/>
    <x:col min="8" max="8" width="36" hidden="0" customWidth="1"/>
    <x:col min="9" max="9" width="4" hidden="0" customWidth="1"/>
    <x:col min="10" max="10" width="15" hidden="0" customWidth="1"/>
    <x:col min="11" max="11" width="15" hidden="0" customWidth="1"/>
    <x:col min="12" max="12" width="16" hidden="0" customWidth="1"/>
    <x:col min="13" max="13" width="16" hidden="0" customWidth="1"/>
    <x:col min="14" max="14" width="20" hidden="0" customWidth="1"/>
    <x:col min="15" max="15" width="5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8" customHeight="1">
      <x:c r="A2" s="3" t="str">
        <x:v>PCB 廠商明細與材料估價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8" customHeight="1">
      <x:c r="A3" s="4" t="str">
        <x:v>原始 61 列保留。不要將材料估價再加進 PCBA 報價。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48" customHeight="1">
      <x:c r="A4" s="8" t="str">
        <x:v>原列</x:v>
      </x:c>
      <x:c r="B4" s="8" t="str">
        <x:v>位號</x:v>
      </x:c>
      <x:c r="C4" s="8" t="str">
        <x:v>品名</x:v>
      </x:c>
      <x:c r="D4" s="8" t="str">
        <x:v>數量</x:v>
      </x:c>
      <x:c r="E4" s="8" t="str">
        <x:v>廠商原數值</x:v>
      </x:c>
      <x:c r="F4" s="8" t="str">
        <x:v>規格</x:v>
      </x:c>
      <x:c r="G4" s="8" t="str">
        <x:v>用途与位置</x:v>
      </x:c>
      <x:c r="H4" s="8" t="str">
        <x:v>缺少規格</x:v>
      </x:c>
      <x:c r="I4" s="8" t="str"/>
      <x:c r="J4" s="8" t="str">
        <x:v>單價 NTD</x:v>
      </x:c>
      <x:c r="K4" s="8" t="str">
        <x:v>單價 USD</x:v>
      </x:c>
      <x:c r="L4" s="8" t="str">
        <x:v>材料 NTD</x:v>
      </x:c>
      <x:c r="M4" s="8" t="str">
        <x:v>材料 USD</x:v>
      </x:c>
      <x:c r="N4" s="8" t="str">
        <x:v>價格類型</x:v>
      </x:c>
      <x:c r="O4" s="8" t="str">
        <x:v>來源與估價限制</x:v>
      </x:c>
    </x:row>
    <x:row r="5" ht="138" customHeight="1">
      <x:c r="A5" s="10" t="n">
        <x:v>1</x:v>
      </x:c>
      <x:c r="B5" s="10" t="str">
        <x:v>C1</x:v>
      </x:c>
      <x:c r="C5" s="10" t="str">
        <x:v>電容（容值未提供）</x:v>
      </x:c>
      <x:c r="D5" s="10" t="n">
        <x:v>1</x:v>
      </x:c>
      <x:c r="E5" s="10" t="str"/>
      <x:c r="F5" s="10" t="str">
        <x:v>原廠 BOM 與原理圖皆未填容值。</x:v>
      </x:c>
      <x:c r="G5" s="10" t="str">
        <x:v>U2系統輸出去耦
原理圖第 1 頁：充電／電源路徑</x:v>
      </x:c>
      <x:c r="H5" s="10" t="str">
        <x:v>待補MPN、封裝／高度、耐壓、容差、介質及ESR</x:v>
      </x:c>
      <x:c r="I5" s="10" t="str"/>
      <x:c r="J5" s="14" t="n">
        <x:v>2</x:v>
      </x:c>
      <x:c r="K5" s="12" t="n">
        <x:f>IF(AND(ISNUMBER(J5),J5&gt;=0,ISNUMBER(Summary!$F$5),Summary!$F$5&gt;0),J5/Summary!$F$5,"")</x:f>
        <x:v>0.0628831944662789</x:v>
      </x:c>
      <x:c r="L5" s="12" t="n">
        <x:f>IF(AND(ISNUMBER(J5),J5&gt;=0,ISNUMBER(D5),D5&gt;=0),J5*D5,"")</x:f>
        <x:v>2</x:v>
      </x:c>
      <x:c r="M5" s="12" t="n">
        <x:f>IF(AND(ISNUMBER(K5),ISNUMBER(D5),D5&gt;=0),K5*D5,"")</x:f>
        <x:v>0.0628831944662789</x:v>
      </x:c>
      <x:c r="N5" s="10" t="str">
        <x:v>Allowance</x:v>
      </x:c>
      <x:c r="O5" s="10" t="str">
        <x:v>vendor_BOM 列1;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6" ht="138" customHeight="1">
      <x:c r="A6" s="10" t="n">
        <x:v>2</x:v>
      </x:c>
      <x:c r="B6" s="10" t="str">
        <x:v>C2</x:v>
      </x:c>
      <x:c r="C6" s="10" t="str">
        <x:v>電容（容值未提供）</x:v>
      </x:c>
      <x:c r="D6" s="10" t="n">
        <x:v>1</x:v>
      </x:c>
      <x:c r="E6" s="10" t="str"/>
      <x:c r="F6" s="10" t="str">
        <x:v>原廠 BOM 與原理圖皆未填容值。</x:v>
      </x:c>
      <x:c r="G6" s="10" t="str">
        <x:v>升壓輸入去耦
原理圖第 1 頁：升壓電源</x:v>
      </x:c>
      <x:c r="H6" s="10" t="str">
        <x:v>待補MPN、封裝／高度、耐壓、容差、介質及ESR</x:v>
      </x:c>
      <x:c r="I6" s="10" t="str"/>
      <x:c r="J6" s="14" t="n">
        <x:v>2</x:v>
      </x:c>
      <x:c r="K6" s="12" t="n">
        <x:f>IF(AND(ISNUMBER(J6),J6&gt;=0,ISNUMBER(Summary!$F$5),Summary!$F$5&gt;0),J6/Summary!$F$5,"")</x:f>
        <x:v>0.0628831944662789</x:v>
      </x:c>
      <x:c r="L6" s="12" t="n">
        <x:f>IF(AND(ISNUMBER(J6),J6&gt;=0,ISNUMBER(D6),D6&gt;=0),J6*D6,"")</x:f>
        <x:v>2</x:v>
      </x:c>
      <x:c r="M6" s="12" t="n">
        <x:f>IF(AND(ISNUMBER(K6),ISNUMBER(D6),D6&gt;=0),K6*D6,"")</x:f>
        <x:v>0.0628831944662789</x:v>
      </x:c>
      <x:c r="N6" s="10" t="str">
        <x:v>Allowance</x:v>
      </x:c>
      <x:c r="O6" s="10" t="str">
        <x:v>vendor_BOM 列2;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7" ht="138" customHeight="1">
      <x:c r="A7" s="10" t="n">
        <x:v>3</x:v>
      </x:c>
      <x:c r="B7" s="10" t="str">
        <x:v>C3</x:v>
      </x:c>
      <x:c r="C7" s="10" t="str">
        <x:v>電容（容值未提供）</x:v>
      </x:c>
      <x:c r="D7" s="10" t="n">
        <x:v>1</x:v>
      </x:c>
      <x:c r="E7" s="10" t="str"/>
      <x:c r="F7" s="10" t="str">
        <x:v>原廠 BOM 與原理圖皆未填容值。</x:v>
      </x:c>
      <x:c r="G7" s="10" t="str">
        <x:v>5V升壓輸出濾波
原理圖第 1 頁：升壓電源</x:v>
      </x:c>
      <x:c r="H7" s="10" t="str">
        <x:v>待補MPN、封裝／高度、耐壓、容差、介質及ESR</x:v>
      </x:c>
      <x:c r="I7" s="10" t="str"/>
      <x:c r="J7" s="14" t="n">
        <x:v>2</x:v>
      </x:c>
      <x:c r="K7" s="12" t="n">
        <x:f>IF(AND(ISNUMBER(J7),J7&gt;=0,ISNUMBER(Summary!$F$5),Summary!$F$5&gt;0),J7/Summary!$F$5,"")</x:f>
        <x:v>0.0628831944662789</x:v>
      </x:c>
      <x:c r="L7" s="12" t="n">
        <x:f>IF(AND(ISNUMBER(J7),J7&gt;=0,ISNUMBER(D7),D7&gt;=0),J7*D7,"")</x:f>
        <x:v>2</x:v>
      </x:c>
      <x:c r="M7" s="12" t="n">
        <x:f>IF(AND(ISNUMBER(K7),ISNUMBER(D7),D7&gt;=0),K7*D7,"")</x:f>
        <x:v>0.0628831944662789</x:v>
      </x:c>
      <x:c r="N7" s="10" t="str">
        <x:v>Allowance</x:v>
      </x:c>
      <x:c r="O7" s="10" t="str">
        <x:v>vendor_BOM 列3;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8" ht="138" customHeight="1">
      <x:c r="A8" s="10" t="n">
        <x:v>4</x:v>
      </x:c>
      <x:c r="B8" s="10" t="str">
        <x:v>C4</x:v>
      </x:c>
      <x:c r="C8" s="10" t="str">
        <x:v>電容（容值未提供）</x:v>
      </x:c>
      <x:c r="D8" s="10" t="n">
        <x:v>1</x:v>
      </x:c>
      <x:c r="E8" s="10" t="str"/>
      <x:c r="F8" s="10" t="str">
        <x:v>原廠 BOM 與原理圖皆未填容值。</x:v>
      </x:c>
      <x:c r="G8" s="10" t="str">
        <x:v>5V升壓輸出濾波
原理圖第 1 頁：升壓電源</x:v>
      </x:c>
      <x:c r="H8" s="10" t="str">
        <x:v>待補MPN、封裝／高度、耐壓、容差、介質及ESR</x:v>
      </x:c>
      <x:c r="I8" s="10" t="str"/>
      <x:c r="J8" s="14" t="n">
        <x:v>2</x:v>
      </x:c>
      <x:c r="K8" s="12" t="n">
        <x:f>IF(AND(ISNUMBER(J8),J8&gt;=0,ISNUMBER(Summary!$F$5),Summary!$F$5&gt;0),J8/Summary!$F$5,"")</x:f>
        <x:v>0.0628831944662789</x:v>
      </x:c>
      <x:c r="L8" s="12" t="n">
        <x:f>IF(AND(ISNUMBER(J8),J8&gt;=0,ISNUMBER(D8),D8&gt;=0),J8*D8,"")</x:f>
        <x:v>2</x:v>
      </x:c>
      <x:c r="M8" s="12" t="n">
        <x:f>IF(AND(ISNUMBER(K8),ISNUMBER(D8),D8&gt;=0),K8*D8,"")</x:f>
        <x:v>0.0628831944662789</x:v>
      </x:c>
      <x:c r="N8" s="10" t="str">
        <x:v>Allowance</x:v>
      </x:c>
      <x:c r="O8" s="10" t="str">
        <x:v>vendor_BOM 列4;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9" ht="138" customHeight="1">
      <x:c r="A9" s="10" t="n">
        <x:v>5</x:v>
      </x:c>
      <x:c r="B9" s="10" t="str">
        <x:v>C5</x:v>
      </x:c>
      <x:c r="C9" s="10" t="str">
        <x:v>電容（容值未提供）</x:v>
      </x:c>
      <x:c r="D9" s="10" t="n">
        <x:v>1</x:v>
      </x:c>
      <x:c r="E9" s="10" t="str"/>
      <x:c r="F9" s="10" t="str">
        <x:v>原廠 BOM 與原理圖皆未填容值。</x:v>
      </x:c>
      <x:c r="G9" s="10" t="str">
        <x:v>5V升壓輸出濾波
原理圖第 1 頁：升壓電源</x:v>
      </x:c>
      <x:c r="H9" s="10" t="str">
        <x:v>待補MPN、封裝／高度、耐壓、容差、介質及ESR</x:v>
      </x:c>
      <x:c r="I9" s="10" t="str"/>
      <x:c r="J9" s="14" t="n">
        <x:v>2</x:v>
      </x:c>
      <x:c r="K9" s="12" t="n">
        <x:f>IF(AND(ISNUMBER(J9),J9&gt;=0,ISNUMBER(Summary!$F$5),Summary!$F$5&gt;0),J9/Summary!$F$5,"")</x:f>
        <x:v>0.0628831944662789</x:v>
      </x:c>
      <x:c r="L9" s="12" t="n">
        <x:f>IF(AND(ISNUMBER(J9),J9&gt;=0,ISNUMBER(D9),D9&gt;=0),J9*D9,"")</x:f>
        <x:v>2</x:v>
      </x:c>
      <x:c r="M9" s="12" t="n">
        <x:f>IF(AND(ISNUMBER(K9),ISNUMBER(D9),D9&gt;=0),K9*D9,"")</x:f>
        <x:v>0.0628831944662789</x:v>
      </x:c>
      <x:c r="N9" s="10" t="str">
        <x:v>Allowance</x:v>
      </x:c>
      <x:c r="O9" s="10" t="str">
        <x:v>vendor_BOM 列5;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0" ht="138" customHeight="1">
      <x:c r="A10" s="10" t="n">
        <x:v>6</x:v>
      </x:c>
      <x:c r="B10" s="10" t="str">
        <x:v>C6</x:v>
      </x:c>
      <x:c r="C10" s="10" t="str">
        <x:v>電容（容值未提供）</x:v>
      </x:c>
      <x:c r="D10" s="10" t="n">
        <x:v>1</x:v>
      </x:c>
      <x:c r="E10" s="10" t="str"/>
      <x:c r="F10" s="10" t="str">
        <x:v>原廠 BOM 與原理圖皆未填容值。</x:v>
      </x:c>
      <x:c r="G10" s="10" t="str">
        <x:v>USB／充電輸入去耦
原理圖第 1 頁：USB／充電輸入</x:v>
      </x:c>
      <x:c r="H10" s="10" t="str">
        <x:v>待補MPN、封裝／高度、耐壓、容差、介質及ESR</x:v>
      </x:c>
      <x:c r="I10" s="10" t="str"/>
      <x:c r="J10" s="14" t="n">
        <x:v>2</x:v>
      </x:c>
      <x:c r="K10" s="12" t="n">
        <x:f>IF(AND(ISNUMBER(J10),J10&gt;=0,ISNUMBER(Summary!$F$5),Summary!$F$5&gt;0),J10/Summary!$F$5,"")</x:f>
        <x:v>0.0628831944662789</x:v>
      </x:c>
      <x:c r="L10" s="12" t="n">
        <x:f>IF(AND(ISNUMBER(J10),J10&gt;=0,ISNUMBER(D10),D10&gt;=0),J10*D10,"")</x:f>
        <x:v>2</x:v>
      </x:c>
      <x:c r="M10" s="12" t="n">
        <x:f>IF(AND(ISNUMBER(K10),ISNUMBER(D10),D10&gt;=0),K10*D10,"")</x:f>
        <x:v>0.0628831944662789</x:v>
      </x:c>
      <x:c r="N10" s="10" t="str">
        <x:v>Allowance</x:v>
      </x:c>
      <x:c r="O10" s="10" t="str">
        <x:v>vendor_BOM 列6;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1" ht="138" customHeight="1">
      <x:c r="A11" s="10" t="n">
        <x:v>7</x:v>
      </x:c>
      <x:c r="B11" s="10" t="str">
        <x:v>C7</x:v>
      </x:c>
      <x:c r="C11" s="10" t="str">
        <x:v>電容（容值未提供）</x:v>
      </x:c>
      <x:c r="D11" s="10" t="n">
        <x:v>1</x:v>
      </x:c>
      <x:c r="E11" s="10" t="str"/>
      <x:c r="F11" s="10" t="str">
        <x:v>原廠 BOM 與原理圖皆未填容值。</x:v>
      </x:c>
      <x:c r="G11" s="10" t="str">
        <x:v>未辨識U3的供電去耦
原理圖第 1 頁：U3 電源控制周邊</x:v>
      </x:c>
      <x:c r="H11" s="10" t="str">
        <x:v>待補MPN、封裝／高度、耐壓、容差、介質及ESR</x:v>
      </x:c>
      <x:c r="I11" s="10" t="str"/>
      <x:c r="J11" s="14" t="n">
        <x:v>2</x:v>
      </x:c>
      <x:c r="K11" s="12" t="n">
        <x:f>IF(AND(ISNUMBER(J11),J11&gt;=0,ISNUMBER(Summary!$F$5),Summary!$F$5&gt;0),J11/Summary!$F$5,"")</x:f>
        <x:v>0.0628831944662789</x:v>
      </x:c>
      <x:c r="L11" s="12" t="n">
        <x:f>IF(AND(ISNUMBER(J11),J11&gt;=0,ISNUMBER(D11),D11&gt;=0),J11*D11,"")</x:f>
        <x:v>2</x:v>
      </x:c>
      <x:c r="M11" s="12" t="n">
        <x:f>IF(AND(ISNUMBER(K11),ISNUMBER(D11),D11&gt;=0),K11*D11,"")</x:f>
        <x:v>0.0628831944662789</x:v>
      </x:c>
      <x:c r="N11" s="10" t="str">
        <x:v>Allowance</x:v>
      </x:c>
      <x:c r="O11" s="10" t="str">
        <x:v>vendor_BOM 列7;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2" ht="138" customHeight="1">
      <x:c r="A12" s="10" t="n">
        <x:v>8</x:v>
      </x:c>
      <x:c r="B12" s="10" t="str">
        <x:v>C8</x:v>
      </x:c>
      <x:c r="C12" s="10" t="str">
        <x:v>電容（容值未提供）</x:v>
      </x:c>
      <x:c r="D12" s="10" t="n">
        <x:v>1</x:v>
      </x:c>
      <x:c r="E12" s="10" t="str"/>
      <x:c r="F12" s="10" t="str">
        <x:v>原廠 BOM 與原理圖皆未填容值。</x:v>
      </x:c>
      <x:c r="G12" s="10" t="str">
        <x:v>電池BAT端去耦
原理圖第 1 頁：電池／充電</x:v>
      </x:c>
      <x:c r="H12" s="10" t="str">
        <x:v>待補MPN、封裝／高度、耐壓、容差、介質及ESR</x:v>
      </x:c>
      <x:c r="I12" s="10" t="str"/>
      <x:c r="J12" s="14" t="n">
        <x:v>2</x:v>
      </x:c>
      <x:c r="K12" s="12" t="n">
        <x:f>IF(AND(ISNUMBER(J12),J12&gt;=0,ISNUMBER(Summary!$F$5),Summary!$F$5&gt;0),J12/Summary!$F$5,"")</x:f>
        <x:v>0.0628831944662789</x:v>
      </x:c>
      <x:c r="L12" s="12" t="n">
        <x:f>IF(AND(ISNUMBER(J12),J12&gt;=0,ISNUMBER(D12),D12&gt;=0),J12*D12,"")</x:f>
        <x:v>2</x:v>
      </x:c>
      <x:c r="M12" s="12" t="n">
        <x:f>IF(AND(ISNUMBER(K12),ISNUMBER(D12),D12&gt;=0),K12*D12,"")</x:f>
        <x:v>0.0628831944662789</x:v>
      </x:c>
      <x:c r="N12" s="10" t="str">
        <x:v>Allowance</x:v>
      </x:c>
      <x:c r="O12" s="10" t="str">
        <x:v>vendor_BOM 列8;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3" ht="138" customHeight="1">
      <x:c r="A13" s="10" t="n">
        <x:v>9</x:v>
      </x:c>
      <x:c r="B13" s="10" t="str">
        <x:v>C9</x:v>
      </x:c>
      <x:c r="C13" s="10" t="str">
        <x:v>電容（容值未提供）</x:v>
      </x:c>
      <x:c r="D13" s="10" t="n">
        <x:v>1</x:v>
      </x:c>
      <x:c r="E13" s="10" t="str"/>
      <x:c r="F13" s="10" t="str">
        <x:v>原廠 BOM 與原理圖皆未填容值。</x:v>
      </x:c>
      <x:c r="G13" s="10" t="str">
        <x:v>U3 P2分壓節點濾波
原理圖第 1 頁：U3 電源控制周邊</x:v>
      </x:c>
      <x:c r="H13" s="10" t="str">
        <x:v>待補MPN、封裝／高度、耐壓、容差、介質及ESR</x:v>
      </x:c>
      <x:c r="I13" s="10" t="str"/>
      <x:c r="J13" s="14" t="n">
        <x:v>2</x:v>
      </x:c>
      <x:c r="K13" s="12" t="n">
        <x:f>IF(AND(ISNUMBER(J13),J13&gt;=0,ISNUMBER(Summary!$F$5),Summary!$F$5&gt;0),J13/Summary!$F$5,"")</x:f>
        <x:v>0.0628831944662789</x:v>
      </x:c>
      <x:c r="L13" s="12" t="n">
        <x:f>IF(AND(ISNUMBER(J13),J13&gt;=0,ISNUMBER(D13),D13&gt;=0),J13*D13,"")</x:f>
        <x:v>2</x:v>
      </x:c>
      <x:c r="M13" s="12" t="n">
        <x:f>IF(AND(ISNUMBER(K13),ISNUMBER(D13),D13&gt;=0),K13*D13,"")</x:f>
        <x:v>0.0628831944662789</x:v>
      </x:c>
      <x:c r="N13" s="10" t="str">
        <x:v>Allowance</x:v>
      </x:c>
      <x:c r="O13" s="10" t="str">
        <x:v>vendor_BOM 列9;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4" ht="138" customHeight="1">
      <x:c r="A14" s="10" t="n">
        <x:v>10</x:v>
      </x:c>
      <x:c r="B14" s="10" t="str">
        <x:v>C10</x:v>
      </x:c>
      <x:c r="C14" s="10" t="str">
        <x:v>電容（容值未提供）</x:v>
      </x:c>
      <x:c r="D14" s="10" t="n">
        <x:v>1</x:v>
      </x:c>
      <x:c r="E14" s="10" t="str"/>
      <x:c r="F14" s="10" t="str">
        <x:v>原廠 BOM 與原理圖皆未填容值。</x:v>
      </x:c>
      <x:c r="G14" s="10" t="str">
        <x:v>U3 P6接地電容；具體功能未定
原理圖第 1 頁：U3 電源控制周邊</x:v>
      </x:c>
      <x:c r="H14" s="10" t="str">
        <x:v>待補MPN、封裝／高度、耐壓、容差、介質及ESR</x:v>
      </x:c>
      <x:c r="I14" s="10" t="str"/>
      <x:c r="J14" s="14" t="n">
        <x:v>2</x:v>
      </x:c>
      <x:c r="K14" s="12" t="n">
        <x:f>IF(AND(ISNUMBER(J14),J14&gt;=0,ISNUMBER(Summary!$F$5),Summary!$F$5&gt;0),J14/Summary!$F$5,"")</x:f>
        <x:v>0.0628831944662789</x:v>
      </x:c>
      <x:c r="L14" s="12" t="n">
        <x:f>IF(AND(ISNUMBER(J14),J14&gt;=0,ISNUMBER(D14),D14&gt;=0),J14*D14,"")</x:f>
        <x:v>2</x:v>
      </x:c>
      <x:c r="M14" s="12" t="n">
        <x:f>IF(AND(ISNUMBER(K14),ISNUMBER(D14),D14&gt;=0),K14*D14,"")</x:f>
        <x:v>0.0628831944662789</x:v>
      </x:c>
      <x:c r="N14" s="10" t="str">
        <x:v>Allowance</x:v>
      </x:c>
      <x:c r="O14" s="10" t="str">
        <x:v>vendor_BOM 列10;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5" ht="138" customHeight="1">
      <x:c r="A15" s="10" t="n">
        <x:v>11</x:v>
      </x:c>
      <x:c r="B15" s="10" t="str">
        <x:v>C11</x:v>
      </x:c>
      <x:c r="C15" s="10" t="str">
        <x:v>電容（容值未提供）</x:v>
      </x:c>
      <x:c r="D15" s="10" t="n">
        <x:v>1</x:v>
      </x:c>
      <x:c r="E15" s="10" t="str"/>
      <x:c r="F15" s="10" t="str">
        <x:v>原廠 BOM 與原理圖皆未填容值。</x:v>
      </x:c>
      <x:c r="G15" s="10" t="str">
        <x:v>U3 P4接地電容；具體功能未定
原理圖第 1 頁：U3 電源控制周邊</x:v>
      </x:c>
      <x:c r="H15" s="10" t="str">
        <x:v>待補MPN、封裝／高度、耐壓、容差、介質及ESR</x:v>
      </x:c>
      <x:c r="I15" s="10" t="str"/>
      <x:c r="J15" s="14" t="n">
        <x:v>2</x:v>
      </x:c>
      <x:c r="K15" s="12" t="n">
        <x:f>IF(AND(ISNUMBER(J15),J15&gt;=0,ISNUMBER(Summary!$F$5),Summary!$F$5&gt;0),J15/Summary!$F$5,"")</x:f>
        <x:v>0.0628831944662789</x:v>
      </x:c>
      <x:c r="L15" s="12" t="n">
        <x:f>IF(AND(ISNUMBER(J15),J15&gt;=0,ISNUMBER(D15),D15&gt;=0),J15*D15,"")</x:f>
        <x:v>2</x:v>
      </x:c>
      <x:c r="M15" s="12" t="n">
        <x:f>IF(AND(ISNUMBER(K15),ISNUMBER(D15),D15&gt;=0),K15*D15,"")</x:f>
        <x:v>0.0628831944662789</x:v>
      </x:c>
      <x:c r="N15" s="10" t="str">
        <x:v>Allowance</x:v>
      </x:c>
      <x:c r="O15" s="10" t="str">
        <x:v>vendor_BOM 列11;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6" ht="138" customHeight="1">
      <x:c r="A16" s="10" t="n">
        <x:v>12</x:v>
      </x:c>
      <x:c r="B16" s="10" t="str">
        <x:v>C12</x:v>
      </x:c>
      <x:c r="C16" s="10" t="str">
        <x:v>47 µF 電容</x:v>
      </x:c>
      <x:c r="D16" s="10" t="n">
        <x:v>1</x:v>
      </x:c>
      <x:c r="E16" s="10" t="str">
        <x:v>47uF</x:v>
      </x:c>
      <x:c r="F16" s="10" t="str">
        <x:v>原廠標稱容值 47uF。</x:v>
      </x:c>
      <x:c r="G16" s="10" t="str">
        <x:v>LED區5V局部儲能
原理圖第 2 頁：LEDs</x:v>
      </x:c>
      <x:c r="H16" s="10" t="str">
        <x:v>待補MPN、封裝／高度、耐壓、容差、介質及ESR</x:v>
      </x:c>
      <x:c r="I16" s="10" t="str"/>
      <x:c r="J16" s="14" t="n">
        <x:v>15</x:v>
      </x:c>
      <x:c r="K16" s="12" t="n">
        <x:f>IF(AND(ISNUMBER(J16),J16&gt;=0,ISNUMBER(Summary!$F$5),Summary!$F$5&gt;0),J16/Summary!$F$5,"")</x:f>
        <x:v>0.47162395849709166</x:v>
      </x:c>
      <x:c r="L16" s="12" t="n">
        <x:f>IF(AND(ISNUMBER(J16),J16&gt;=0,ISNUMBER(D16),D16&gt;=0),J16*D16,"")</x:f>
        <x:v>15</x:v>
      </x:c>
      <x:c r="M16" s="12" t="n">
        <x:f>IF(AND(ISNUMBER(K16),ISNUMBER(D16),D16&gt;=0),K16*D16,"")</x:f>
        <x:v>0.47162395849709166</x:v>
      </x:c>
      <x:c r="N16" s="10" t="str">
        <x:v>Allowance</x:v>
      </x:c>
      <x:c r="O16" s="10" t="str">
        <x:v>vendor_BOM 列12;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7" ht="138" customHeight="1">
      <x:c r="A17" s="10" t="n">
        <x:v>13</x:v>
      </x:c>
      <x:c r="B17" s="10" t="str">
        <x:v>C13,C18</x:v>
      </x:c>
      <x:c r="C17" s="10" t="str">
        <x:v>22 µF 電容</x:v>
      </x:c>
      <x:c r="D17" s="10" t="n">
        <x:v>2</x:v>
      </x:c>
      <x:c r="E17" s="10" t="str">
        <x:v>22uF</x:v>
      </x:c>
      <x:c r="F17" s="10" t="str">
        <x:v>原廠標稱容值 22uF。</x:v>
      </x:c>
      <x:c r="G17" s="10" t="str">
        <x:v>C13:ESP32；C18:數位LDO輸出
原理圖第 2 頁：ESP32；原理圖第 2 頁：3V3 LDO</x:v>
      </x:c>
      <x:c r="H17" s="10" t="str">
        <x:v>待補MPN、封裝／高度、耐壓、容差、介質及ESR</x:v>
      </x:c>
      <x:c r="I17" s="10" t="str"/>
      <x:c r="J17" s="14" t="n">
        <x:v>8</x:v>
      </x:c>
      <x:c r="K17" s="12" t="n">
        <x:f>IF(AND(ISNUMBER(J17),J17&gt;=0,ISNUMBER(Summary!$F$5),Summary!$F$5&gt;0),J17/Summary!$F$5,"")</x:f>
        <x:v>0.2515327778651156</x:v>
      </x:c>
      <x:c r="L17" s="12" t="n">
        <x:f>IF(AND(ISNUMBER(J17),J17&gt;=0,ISNUMBER(D17),D17&gt;=0),J17*D17,"")</x:f>
        <x:v>16</x:v>
      </x:c>
      <x:c r="M17" s="12" t="n">
        <x:f>IF(AND(ISNUMBER(K17),ISNUMBER(D17),D17&gt;=0),K17*D17,"")</x:f>
        <x:v>0.5030655557302312</x:v>
      </x:c>
      <x:c r="N17" s="10" t="str">
        <x:v>Allowance</x:v>
      </x:c>
      <x:c r="O17" s="10" t="str">
        <x:v>vendor_BOM 列13;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8" ht="138" customHeight="1">
      <x:c r="A18" s="10" t="n">
        <x:v>14</x:v>
      </x:c>
      <x:c r="B18" s="10" t="str">
        <x:v>C14,C15,C22,C25</x:v>
      </x:c>
      <x:c r="C18" s="10" t="str">
        <x:v>0.1 µF 電容</x:v>
      </x:c>
      <x:c r="D18" s="10" t="n">
        <x:v>4</x:v>
      </x:c>
      <x:c r="E18" s="10" t="str">
        <x:v>0.1uF</x:v>
      </x:c>
      <x:c r="F18" s="10" t="str">
        <x:v>原廠標稱容值 0.1uF。</x:v>
      </x:c>
      <x:c r="G18" s="10" t="str">
        <x:v>ESP32、復位、參考及TIA供電去耦
原理圖第 2 頁：ESP32；原理圖第 2 頁：ESP32 復位；原理圖第 2 頁：2V5_REF；原理圖第 2 頁：TIA 供電</x:v>
      </x:c>
      <x:c r="H18" s="10" t="str">
        <x:v>待補MPN、封裝／高度、耐壓、容差、介質及ESR</x:v>
      </x:c>
      <x:c r="I18" s="10" t="str"/>
      <x:c r="J18" s="14" t="n">
        <x:v>2</x:v>
      </x:c>
      <x:c r="K18" s="12" t="n">
        <x:f>IF(AND(ISNUMBER(J18),J18&gt;=0,ISNUMBER(Summary!$F$5),Summary!$F$5&gt;0),J18/Summary!$F$5,"")</x:f>
        <x:v>0.0628831944662789</x:v>
      </x:c>
      <x:c r="L18" s="12" t="n">
        <x:f>IF(AND(ISNUMBER(J18),J18&gt;=0,ISNUMBER(D18),D18&gt;=0),J18*D18,"")</x:f>
        <x:v>8</x:v>
      </x:c>
      <x:c r="M18" s="12" t="n">
        <x:f>IF(AND(ISNUMBER(K18),ISNUMBER(D18),D18&gt;=0),K18*D18,"")</x:f>
        <x:v>0.2515327778651156</x:v>
      </x:c>
      <x:c r="N18" s="10" t="str">
        <x:v>Allowance</x:v>
      </x:c>
      <x:c r="O18" s="10" t="str">
        <x:v>vendor_BOM 列14;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19" ht="138" customHeight="1">
      <x:c r="A19" s="10" t="n">
        <x:v>15</x:v>
      </x:c>
      <x:c r="B19" s="10" t="str">
        <x:v>C16,C17,C23,C28</x:v>
      </x:c>
      <x:c r="C19" s="10" t="str">
        <x:v>10 µF 電容</x:v>
      </x:c>
      <x:c r="D19" s="10" t="n">
        <x:v>4</x:v>
      </x:c>
      <x:c r="E19" s="10" t="str">
        <x:v>10uF</x:v>
      </x:c>
      <x:c r="F19" s="10" t="str">
        <x:v>原廠標稱容值 10uF。</x:v>
      </x:c>
      <x:c r="G19" s="10" t="str">
        <x:v>復位、LDO、參考及ADC旁路
原理圖第 2 頁：ESP32 復位；原理圖第 2 頁：3V3 LDO；原理圖第 2 頁：2V5_REF；原理圖第 2 頁：ADC 參考</x:v>
      </x:c>
      <x:c r="H19" s="10" t="str">
        <x:v>待補MPN、封裝／高度、耐壓、容差、介質及ESR</x:v>
      </x:c>
      <x:c r="I19" s="10" t="str"/>
      <x:c r="J19" s="14" t="n">
        <x:v>8</x:v>
      </x:c>
      <x:c r="K19" s="12" t="n">
        <x:f>IF(AND(ISNUMBER(J19),J19&gt;=0,ISNUMBER(Summary!$F$5),Summary!$F$5&gt;0),J19/Summary!$F$5,"")</x:f>
        <x:v>0.2515327778651156</x:v>
      </x:c>
      <x:c r="L19" s="12" t="n">
        <x:f>IF(AND(ISNUMBER(J19),J19&gt;=0,ISNUMBER(D19),D19&gt;=0),J19*D19,"")</x:f>
        <x:v>32</x:v>
      </x:c>
      <x:c r="M19" s="12" t="n">
        <x:f>IF(AND(ISNUMBER(K19),ISNUMBER(D19),D19&gt;=0),K19*D19,"")</x:f>
        <x:v>1.0061311114604623</x:v>
      </x:c>
      <x:c r="N19" s="10" t="str">
        <x:v>Allowance</x:v>
      </x:c>
      <x:c r="O19" s="10" t="str">
        <x:v>vendor_BOM 列15;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0" ht="138" customHeight="1">
      <x:c r="A20" s="10" t="n">
        <x:v>16</x:v>
      </x:c>
      <x:c r="B20" s="10" t="str">
        <x:v>C19,C20,C27,C29</x:v>
      </x:c>
      <x:c r="C20" s="10" t="str">
        <x:v>1 µF 電容</x:v>
      </x:c>
      <x:c r="D20" s="10" t="n">
        <x:v>4</x:v>
      </x:c>
      <x:c r="E20" s="10" t="str">
        <x:v>1uF</x:v>
      </x:c>
      <x:c r="F20" s="10" t="str">
        <x:v>原廠標稱容值 1uF。</x:v>
      </x:c>
      <x:c r="G20" s="10" t="str">
        <x:v>類比LDO輸入／輸出及ADC電源去耦
原理圖第 2 頁：3V3 LDO；原理圖第 2 頁：ADC</x:v>
      </x:c>
      <x:c r="H20" s="10" t="str">
        <x:v>待補MPN、封裝／高度、耐壓、容差、介質及ESR</x:v>
      </x:c>
      <x:c r="I20" s="10" t="str"/>
      <x:c r="J20" s="14" t="n">
        <x:v>2</x:v>
      </x:c>
      <x:c r="K20" s="12" t="n">
        <x:f>IF(AND(ISNUMBER(J20),J20&gt;=0,ISNUMBER(Summary!$F$5),Summary!$F$5&gt;0),J20/Summary!$F$5,"")</x:f>
        <x:v>0.0628831944662789</x:v>
      </x:c>
      <x:c r="L20" s="12" t="n">
        <x:f>IF(AND(ISNUMBER(J20),J20&gt;=0,ISNUMBER(D20),D20&gt;=0),J20*D20,"")</x:f>
        <x:v>8</x:v>
      </x:c>
      <x:c r="M20" s="12" t="n">
        <x:f>IF(AND(ISNUMBER(K20),ISNUMBER(D20),D20&gt;=0),K20*D20,"")</x:f>
        <x:v>0.2515327778651156</x:v>
      </x:c>
      <x:c r="N20" s="10" t="str">
        <x:v>Allowance</x:v>
      </x:c>
      <x:c r="O20" s="10" t="str">
        <x:v>vendor_BOM 列16;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1" ht="138" customHeight="1">
      <x:c r="A21" s="10" t="n">
        <x:v>17</x:v>
      </x:c>
      <x:c r="B21" s="10" t="str">
        <x:v>C21</x:v>
      </x:c>
      <x:c r="C21" s="10" t="str">
        <x:v>2.2 pF 電容</x:v>
      </x:c>
      <x:c r="D21" s="10" t="n">
        <x:v>1</x:v>
      </x:c>
      <x:c r="E21" s="10" t="str">
        <x:v>2.2pF</x:v>
      </x:c>
      <x:c r="F21" s="10" t="str">
        <x:v>原廠標稱容值 2.2pF。</x:v>
      </x:c>
      <x:c r="G21" s="10" t="str">
        <x:v>TIA回授補償／頻寬
原理圖第 2 頁：TIA</x:v>
      </x:c>
      <x:c r="H21" s="10" t="str">
        <x:v>待補MPN／封裝、介質／漏電；核對寄生電容</x:v>
      </x:c>
      <x:c r="I21" s="10" t="str"/>
      <x:c r="J21" s="14" t="n">
        <x:v>2</x:v>
      </x:c>
      <x:c r="K21" s="12" t="n">
        <x:f>IF(AND(ISNUMBER(J21),J21&gt;=0,ISNUMBER(Summary!$F$5),Summary!$F$5&gt;0),J21/Summary!$F$5,"")</x:f>
        <x:v>0.0628831944662789</x:v>
      </x:c>
      <x:c r="L21" s="12" t="n">
        <x:f>IF(AND(ISNUMBER(J21),J21&gt;=0,ISNUMBER(D21),D21&gt;=0),J21*D21,"")</x:f>
        <x:v>2</x:v>
      </x:c>
      <x:c r="M21" s="12" t="n">
        <x:f>IF(AND(ISNUMBER(K21),ISNUMBER(D21),D21&gt;=0),K21*D21,"")</x:f>
        <x:v>0.0628831944662789</x:v>
      </x:c>
      <x:c r="N21" s="10" t="str">
        <x:v>Allowance</x:v>
      </x:c>
      <x:c r="O21" s="10" t="str">
        <x:v>vendor_BOM 列17;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2" ht="138" customHeight="1">
      <x:c r="A22" s="10" t="n">
        <x:v>18</x:v>
      </x:c>
      <x:c r="B22" s="10" t="str">
        <x:v>C24</x:v>
      </x:c>
      <x:c r="C22" s="10" t="str">
        <x:v>1000 pF 電容</x:v>
      </x:c>
      <x:c r="D22" s="10" t="n">
        <x:v>1</x:v>
      </x:c>
      <x:c r="E22" s="10" t="str">
        <x:v>1000pF</x:v>
      </x:c>
      <x:c r="F22" s="10" t="str">
        <x:v>原廠標稱容值 1000pF。</x:v>
      </x:c>
      <x:c r="G22" s="10" t="str">
        <x:v>ADC差動輸入間濾波
原理圖第 2 頁：TIA／ADC</x:v>
      </x:c>
      <x:c r="H22" s="10" t="str">
        <x:v>待補MPN、封裝／高度、耐壓、容差、介質及ESR</x:v>
      </x:c>
      <x:c r="I22" s="10" t="str"/>
      <x:c r="J22" s="14" t="n">
        <x:v>2</x:v>
      </x:c>
      <x:c r="K22" s="12" t="n">
        <x:f>IF(AND(ISNUMBER(J22),J22&gt;=0,ISNUMBER(Summary!$F$5),Summary!$F$5&gt;0),J22/Summary!$F$5,"")</x:f>
        <x:v>0.0628831944662789</x:v>
      </x:c>
      <x:c r="L22" s="12" t="n">
        <x:f>IF(AND(ISNUMBER(J22),J22&gt;=0,ISNUMBER(D22),D22&gt;=0),J22*D22,"")</x:f>
        <x:v>2</x:v>
      </x:c>
      <x:c r="M22" s="12" t="n">
        <x:f>IF(AND(ISNUMBER(K22),ISNUMBER(D22),D22&gt;=0),K22*D22,"")</x:f>
        <x:v>0.0628831944662789</x:v>
      </x:c>
      <x:c r="N22" s="10" t="str">
        <x:v>Allowance</x:v>
      </x:c>
      <x:c r="O22" s="10" t="str">
        <x:v>vendor_BOM 列18;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3" ht="138" customHeight="1">
      <x:c r="A23" s="10" t="n">
        <x:v>19</x:v>
      </x:c>
      <x:c r="B23" s="10" t="str">
        <x:v>C26</x:v>
      </x:c>
      <x:c r="C23" s="10" t="str">
        <x:v>100 µF 電容</x:v>
      </x:c>
      <x:c r="D23" s="10" t="n">
        <x:v>1</x:v>
      </x:c>
      <x:c r="E23" s="10" t="str">
        <x:v>100uF</x:v>
      </x:c>
      <x:c r="F23" s="10" t="str">
        <x:v>原廠標稱容值 100uF。</x:v>
      </x:c>
      <x:c r="G23" s="10" t="str">
        <x:v>TIA供電局部儲能／濾波
原理圖第 2 頁：TIA 供電</x:v>
      </x:c>
      <x:c r="H23" s="10" t="str">
        <x:v>待補MPN、封裝／高度、耐壓、容差、介質及ESR</x:v>
      </x:c>
      <x:c r="I23" s="10" t="str"/>
      <x:c r="J23" s="14" t="n">
        <x:v>15</x:v>
      </x:c>
      <x:c r="K23" s="12" t="n">
        <x:f>IF(AND(ISNUMBER(J23),J23&gt;=0,ISNUMBER(Summary!$F$5),Summary!$F$5&gt;0),J23/Summary!$F$5,"")</x:f>
        <x:v>0.47162395849709166</x:v>
      </x:c>
      <x:c r="L23" s="12" t="n">
        <x:f>IF(AND(ISNUMBER(J23),J23&gt;=0,ISNUMBER(D23),D23&gt;=0),J23*D23,"")</x:f>
        <x:v>15</x:v>
      </x:c>
      <x:c r="M23" s="12" t="n">
        <x:f>IF(AND(ISNUMBER(K23),ISNUMBER(D23),D23&gt;=0),K23*D23,"")</x:f>
        <x:v>0.47162395849709166</x:v>
      </x:c>
      <x:c r="N23" s="10" t="str">
        <x:v>Allowance</x:v>
      </x:c>
      <x:c r="O23" s="10" t="str">
        <x:v>vendor_BOM 列19;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4" ht="138" customHeight="1">
      <x:c r="A24" s="10" t="n">
        <x:v>20</x:v>
      </x:c>
      <x:c r="B24" s="10" t="str">
        <x:v>DPS1,DPS2</x:v>
      </x:c>
      <x:c r="C24" s="10" t="str">
        <x:v>狀態指示 LED</x:v>
      </x:c>
      <x:c r="D24" s="10" t="n">
        <x:v>2</x:v>
      </x:c>
      <x:c r="E24" s="10" t="str">
        <x:v>LED</x:v>
      </x:c>
      <x:c r="F24" s="10" t="str">
        <x:v>2顆LED；顏色及型號未定</x:v>
      </x:c>
      <x:c r="G24" s="10" t="str">
        <x:v>DPS1電源狀態；DPS2充電狀態
原理圖第1頁：充電器</x:v>
      </x:c>
      <x:c r="H24" s="10" t="str">
        <x:v>待補MPN、顏色、封裝／高度、電流及亮度</x:v>
      </x:c>
      <x:c r="I24" s="10" t="str"/>
      <x:c r="J24" s="14" t="n">
        <x:v>2</x:v>
      </x:c>
      <x:c r="K24" s="12" t="n">
        <x:f>IF(AND(ISNUMBER(J24),J24&gt;=0,ISNUMBER(Summary!$F$5),Summary!$F$5&gt;0),J24/Summary!$F$5,"")</x:f>
        <x:v>0.0628831944662789</x:v>
      </x:c>
      <x:c r="L24" s="12" t="n">
        <x:f>IF(AND(ISNUMBER(J24),J24&gt;=0,ISNUMBER(D24),D24&gt;=0),J24*D24,"")</x:f>
        <x:v>4</x:v>
      </x:c>
      <x:c r="M24" s="12" t="n">
        <x:f>IF(AND(ISNUMBER(K24),ISNUMBER(D24),D24&gt;=0),K24*D24,"")</x:f>
        <x:v>0.1257663889325578</x:v>
      </x:c>
      <x:c r="N24" s="10" t="str">
        <x:v>Allowance</x:v>
      </x:c>
      <x:c r="O24" s="10" t="str">
        <x:v>vendor_BOM 列20;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5" ht="78" customHeight="1">
      <x:c r="A25" s="10" t="n">
        <x:v>21</x:v>
      </x:c>
      <x:c r="B25" s="10" t="str">
        <x:v>D1,D2,D3,D4</x:v>
      </x:c>
      <x:c r="C25" s="10" t="str">
        <x:v>側發光藍光 LED</x:v>
      </x:c>
      <x:c r="D25" s="10" t="n">
        <x:v>4</x:v>
      </x:c>
      <x:c r="E25" s="10" t="str">
        <x:v>155124BS73200</x:v>
      </x:c>
      <x:c r="F25" s="10" t="str">
        <x:v>155124BS73200；1204側發光；20mA時典型峰值468nm／主波長470nm</x:v>
      </x:c>
      <x:c r="G25" s="10" t="str">
        <x:v>四路調變藍光激發
原理圖第2頁：LEDs；PCB 光學區</x:v>
      </x:c>
      <x:c r="H25" s="10" t="str">
        <x:v>核對方向／高度、光軸、實際電流及光功率</x:v>
      </x:c>
      <x:c r="I25" s="10" t="str"/>
      <x:c r="J25" s="14" t="n">
        <x:v>17</x:v>
      </x:c>
      <x:c r="K25" s="12" t="n">
        <x:f>IF(AND(ISNUMBER(J25),J25&gt;=0,ISNUMBER(Summary!$F$5),Summary!$F$5&gt;0),J25/Summary!$F$5,"")</x:f>
        <x:v>0.5345071529633706</x:v>
      </x:c>
      <x:c r="L25" s="12" t="n">
        <x:f>IF(AND(ISNUMBER(J25),J25&gt;=0,ISNUMBER(D25),D25&gt;=0),J25*D25,"")</x:f>
        <x:v>68</x:v>
      </x:c>
      <x:c r="M25" s="12" t="n">
        <x:f>IF(AND(ISNUMBER(K25),ISNUMBER(D25),D25&gt;=0),K25*D25,"")</x:f>
        <x:v>2.1380286118534824</x:v>
      </x:c>
      <x:c r="N25" s="10" t="str">
        <x:v>Listed</x:v>
      </x:c>
      <x:c r="O25" s="10" t="str">
        <x:v>vendor_BOM 列21; schematic; WURTH_LED
NTD 17 each at quantity 1.
https://www.digikey.tw/en/products/detail/w%C3%BCrth-elektronik/155124BS73200/4490035</x:v>
      </x:c>
    </x:row>
    <x:row r="26" ht="78" customHeight="1">
      <x:c r="A26" s="10" t="n">
        <x:v>22</x:v>
      </x:c>
      <x:c r="B26" s="10" t="str">
        <x:v>D5</x:v>
      </x:c>
      <x:c r="C26" s="10" t="str">
        <x:v>矽 PIN 光電二極體</x:v>
      </x:c>
      <x:c r="D26" s="10" t="n">
        <x:v>1</x:v>
      </x:c>
      <x:c r="E26" s="10" t="str">
        <x:v>VEMD5060X01</x:v>
      </x:c>
      <x:c r="F26" s="10" t="str">
        <x:v>VEMD5060X01；5×4×0.9mm頂視SMD；感光面積7.5mm²</x:v>
      </x:c>
      <x:c r="G26" s="10" t="str">
        <x:v>四井共用螢光／背景光接收
原理圖第2頁：PhotoDiod／TIA；PCB 光學區</x:v>
      </x:c>
      <x:c r="H26" s="10" t="str">
        <x:v>核對偏心感光區、安裝高度及濾片遮擋</x:v>
      </x:c>
      <x:c r="I26" s="10" t="str"/>
      <x:c r="J26" s="14" t="n">
        <x:v>68</x:v>
      </x:c>
      <x:c r="K26" s="12" t="n">
        <x:f>IF(AND(ISNUMBER(J26),J26&gt;=0,ISNUMBER(Summary!$F$5),Summary!$F$5&gt;0),J26/Summary!$F$5,"")</x:f>
        <x:v>2.1380286118534824</x:v>
      </x:c>
      <x:c r="L26" s="12" t="n">
        <x:f>IF(AND(ISNUMBER(J26),J26&gt;=0,ISNUMBER(D26),D26&gt;=0),J26*D26,"")</x:f>
        <x:v>68</x:v>
      </x:c>
      <x:c r="M26" s="12" t="n">
        <x:f>IF(AND(ISNUMBER(K26),ISNUMBER(D26),D26&gt;=0),K26*D26,"")</x:f>
        <x:v>2.1380286118534824</x:v>
      </x:c>
      <x:c r="N26" s="10" t="str">
        <x:v>Listed</x:v>
      </x:c>
      <x:c r="O26" s="10" t="str">
        <x:v>vendor_BOM 列22; schematic; VISHAY_PD
NTD 68 each at quantity 1.
https://www.digikey.tw/en/products/detail/vishay-semiconductor-opto-division/VEMD5060X01/5879084</x:v>
      </x:c>
    </x:row>
    <x:row r="27" ht="138" customHeight="1">
      <x:c r="A27" s="10" t="n">
        <x:v>23</x:v>
      </x:c>
      <x:c r="B27" s="10" t="str">
        <x:v>FD1,FD2,FD3,FD4,FD5,FD6,FD7,FD8</x:v>
      </x:c>
      <x:c r="C27" s="10" t="str">
        <x:v>SMT 光學定位標記（PCB 圖形）</x:v>
      </x:c>
      <x:c r="D27" s="10" t="n">
        <x:v>8</x:v>
      </x:c>
      <x:c r="E27" s="10" t="str">
        <x:v>FD_040(SMT用光學點)</x:v>
      </x:c>
      <x:c r="F27" s="10" t="str">
        <x:v>FD_040；8個PCB光學定位標記</x:v>
      </x:c>
      <x:c r="G27" s="10" t="str">
        <x:v>SMT視覺定位；不另購
原理圖第1頁：FD1–FD8；PCB 製程特徵</x:v>
      </x:c>
      <x:c r="H27" s="10" t="str">
        <x:v>尺寸／阻焊開窗依製板資料；不另购</x:v>
      </x:c>
      <x:c r="I27" s="10" t="str"/>
      <x:c r="J27" s="14" t="n">
        <x:v>0</x:v>
      </x:c>
      <x:c r="K27" s="12" t="n">
        <x:f>IF(AND(ISNUMBER(J27),J27&gt;=0,ISNUMBER(Summary!$F$5),Summary!$F$5&gt;0),J27/Summary!$F$5,"")</x:f>
        <x:v>0</x:v>
      </x:c>
      <x:c r="L27" s="12" t="n">
        <x:f>IF(AND(ISNUMBER(J27),J27&gt;=0,ISNUMBER(D27),D27&gt;=0),J27*D27,"")</x:f>
        <x:v>0</x:v>
      </x:c>
      <x:c r="M27" s="12" t="n">
        <x:f>IF(AND(ISNUMBER(K27),ISNUMBER(D27),D27&gt;=0),K27*D27,"")</x:f>
        <x:v>0</x:v>
      </x:c>
      <x:c r="N27" s="10" t="str">
        <x:v>Fabrication feature</x:v>
      </x:c>
      <x:c r="O27" s="10" t="str">
        <x:v>vendor_BOM 列23;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8" ht="138" customHeight="1">
      <x:c r="A28" s="10" t="n">
        <x:v>24</x:v>
      </x:c>
      <x:c r="B28" s="10" t="str">
        <x:v>H1,H2,H3,H4</x:v>
      </x:c>
      <x:c r="C28" s="10" t="str">
        <x:v>PCB 固定孔</x:v>
      </x:c>
      <x:c r="D28" s="10" t="n">
        <x:v>4</x:v>
      </x:c>
      <x:c r="E28" s="10" t="str">
        <x:v>CON(銅柱孔)</x:v>
      </x:c>
      <x:c r="F28" s="10" t="str">
        <x:v>H1–H4；原廠標示銅柱孔</x:v>
      </x:c>
      <x:c r="G28" s="10" t="str">
        <x:v>PCB機械固定孔；不另購
原理圖第1頁：H1–H4；PCB 機械固定</x:v>
      </x:c>
      <x:c r="H28" s="10" t="str">
        <x:v>核對孔徑、鍍孔、銅箔避讓；勿重複計螺絲</x:v>
      </x:c>
      <x:c r="I28" s="10" t="str"/>
      <x:c r="J28" s="14" t="n">
        <x:v>0</x:v>
      </x:c>
      <x:c r="K28" s="12" t="n">
        <x:f>IF(AND(ISNUMBER(J28),J28&gt;=0,ISNUMBER(Summary!$F$5),Summary!$F$5&gt;0),J28/Summary!$F$5,"")</x:f>
        <x:v>0</x:v>
      </x:c>
      <x:c r="L28" s="12" t="n">
        <x:f>IF(AND(ISNUMBER(J28),J28&gt;=0,ISNUMBER(D28),D28&gt;=0),J28*D28,"")</x:f>
        <x:v>0</x:v>
      </x:c>
      <x:c r="M28" s="12" t="n">
        <x:f>IF(AND(ISNUMBER(K28),ISNUMBER(D28),D28&gt;=0),K28*D28,"")</x:f>
        <x:v>0</x:v>
      </x:c>
      <x:c r="N28" s="10" t="str">
        <x:v>Fabrication feature</x:v>
      </x:c>
      <x:c r="O28" s="10" t="str">
        <x:v>vendor_BOM 列24;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29" ht="138" customHeight="1">
      <x:c r="A29" s="10" t="n">
        <x:v>25</x:v>
      </x:c>
      <x:c r="B29" s="10" t="str">
        <x:v>J1</x:v>
      </x:c>
      <x:c r="C29" s="10" t="str">
        <x:v>電池座／兩端電池連接件</x:v>
      </x:c>
      <x:c r="D29" s="10" t="n">
        <x:v>1</x:v>
      </x:c>
      <x:c r="E29" s="10" t="str">
        <x:v>Battery_Case</x:v>
      </x:c>
      <x:c r="F29" s="10" t="str">
        <x:v>Battery_Case；腳1=BAT、腳2=GND；實體型號未定</x:v>
      </x:c>
      <x:c r="G29" s="10" t="str">
        <x:v>電池接充電器BAT/GND
原理圖第1頁：J1／電池</x:v>
      </x:c>
      <x:c r="H29" s="10" t="str">
        <x:v>待補MPN、電池尺寸／保護、極性／高度及充電設定</x:v>
      </x:c>
      <x:c r="I29" s="10" t="str"/>
      <x:c r="J29" s="14" t="n">
        <x:v>30</x:v>
      </x:c>
      <x:c r="K29" s="12" t="n">
        <x:f>IF(AND(ISNUMBER(J29),J29&gt;=0,ISNUMBER(Summary!$F$5),Summary!$F$5&gt;0),J29/Summary!$F$5,"")</x:f>
        <x:v>0.9432479169941833</x:v>
      </x:c>
      <x:c r="L29" s="12" t="n">
        <x:f>IF(AND(ISNUMBER(J29),J29&gt;=0,ISNUMBER(D29),D29&gt;=0),J29*D29,"")</x:f>
        <x:v>30</x:v>
      </x:c>
      <x:c r="M29" s="12" t="n">
        <x:f>IF(AND(ISNUMBER(K29),ISNUMBER(D29),D29&gt;=0),K29*D29,"")</x:f>
        <x:v>0.9432479169941833</x:v>
      </x:c>
      <x:c r="N29" s="10" t="str">
        <x:v>Allowance</x:v>
      </x:c>
      <x:c r="O29" s="10" t="str">
        <x:v>vendor_BOM 列25; schematic; TI_BQ24074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0" ht="138" customHeight="1">
      <x:c r="A30" s="10" t="n">
        <x:v>26</x:v>
      </x:c>
      <x:c r="B30" s="10" t="str">
        <x:v>J2</x:v>
      </x:c>
      <x:c r="C30" s="10" t="str">
        <x:v>USB Type-C 母座</x:v>
      </x:c>
      <x:c r="D30" s="10" t="n">
        <x:v>1</x:v>
      </x:c>
      <x:c r="E30" s="10" t="str">
        <x:v>USB TYPE C FEMALE</x:v>
      </x:c>
      <x:c r="F30" s="10" t="str">
        <x:v>Type-C母座；VBUS=5V_USB；D+/D−未接</x:v>
      </x:c>
      <x:c r="G30" s="10" t="str">
        <x:v>USB電源／充電；無USB資料功能
原理圖第1頁：J2／USB</x:v>
      </x:c>
      <x:c r="H30" s="10" t="str">
        <x:v>待補MPN、開孔／高度／額定值及CC電阻</x:v>
      </x:c>
      <x:c r="I30" s="10" t="str"/>
      <x:c r="J30" s="14" t="n">
        <x:v>20</x:v>
      </x:c>
      <x:c r="K30" s="12" t="n">
        <x:f>IF(AND(ISNUMBER(J30),J30&gt;=0,ISNUMBER(Summary!$F$5),Summary!$F$5&gt;0),J30/Summary!$F$5,"")</x:f>
        <x:v>0.6288319446627889</x:v>
      </x:c>
      <x:c r="L30" s="12" t="n">
        <x:f>IF(AND(ISNUMBER(J30),J30&gt;=0,ISNUMBER(D30),D30&gt;=0),J30*D30,"")</x:f>
        <x:v>20</x:v>
      </x:c>
      <x:c r="M30" s="12" t="n">
        <x:f>IF(AND(ISNUMBER(K30),ISNUMBER(D30),D30&gt;=0),K30*D30,"")</x:f>
        <x:v>0.6288319446627889</x:v>
      </x:c>
      <x:c r="N30" s="10" t="str">
        <x:v>Allowance</x:v>
      </x:c>
      <x:c r="O30" s="10" t="str">
        <x:v>vendor_BOM 列26;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1" ht="138" customHeight="1">
      <x:c r="A31" s="10" t="n">
        <x:v>27</x:v>
      </x:c>
      <x:c r="B31" s="10" t="str">
        <x:v>J3</x:v>
      </x:c>
      <x:c r="C31" s="10" t="str">
        <x:v>四針 UART 排針</x:v>
      </x:c>
      <x:c r="D31" s="10" t="n">
        <x:v>1</x:v>
      </x:c>
      <x:c r="E31" s="10" t="str">
        <x:v>CON4(4pin排針)</x:v>
      </x:c>
      <x:c r="F31" s="10" t="str">
        <x:v>4針；1=3V3_DIG、2=TXD0、3=RXD0、4=GND</x:v>
      </x:c>
      <x:c r="G31" s="10" t="str">
        <x:v>ESP32的3.3V UART燒錄／除錯
原理圖第2頁：ESP32／J3</x:v>
      </x:c>
      <x:c r="H31" s="10" t="str">
        <x:v>待補MPN、針距／高度／方向及對接線材</x:v>
      </x:c>
      <x:c r="I31" s="10" t="str"/>
      <x:c r="J31" s="14" t="n">
        <x:v>5</x:v>
      </x:c>
      <x:c r="K31" s="12" t="n">
        <x:f>IF(AND(ISNUMBER(J31),J31&gt;=0,ISNUMBER(Summary!$F$5),Summary!$F$5&gt;0),J31/Summary!$F$5,"")</x:f>
        <x:v>0.15720798616569723</x:v>
      </x:c>
      <x:c r="L31" s="12" t="n">
        <x:f>IF(AND(ISNUMBER(J31),J31&gt;=0,ISNUMBER(D31),D31&gt;=0),J31*D31,"")</x:f>
        <x:v>5</x:v>
      </x:c>
      <x:c r="M31" s="12" t="n">
        <x:f>IF(AND(ISNUMBER(K31),ISNUMBER(D31),D31&gt;=0),K31*D31,"")</x:f>
        <x:v>0.15720798616569723</x:v>
      </x:c>
      <x:c r="N31" s="10" t="str">
        <x:v>Allowance</x:v>
      </x:c>
      <x:c r="O31" s="10" t="str">
        <x:v>vendor_BOM 列27;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2" ht="138" customHeight="1">
      <x:c r="A32" s="10" t="n">
        <x:v>28</x:v>
      </x:c>
      <x:c r="B32" s="10" t="str">
        <x:v>L1</x:v>
      </x:c>
      <x:c r="C32" s="10" t="str">
        <x:v>升壓功率電感</x:v>
      </x:c>
      <x:c r="D32" s="10" t="n">
        <x:v>1</x:v>
      </x:c>
      <x:c r="E32" s="10" t="str"/>
      <x:c r="F32" s="10" t="str">
        <x:v>L1；電感值及型號均未提供</x:v>
      </x:c>
      <x:c r="G32" s="10" t="str">
        <x:v>TPS61023升壓儲能
原理圖第1頁：升壓電源</x:v>
      </x:c>
      <x:c r="H32" s="10" t="str">
        <x:v>待補電感值、電流、DCR、封裝／高度及MPN</x:v>
      </x:c>
      <x:c r="I32" s="10" t="str"/>
      <x:c r="J32" s="14" t="n">
        <x:v>10</x:v>
      </x:c>
      <x:c r="K32" s="12" t="n">
        <x:f>IF(AND(ISNUMBER(J32),J32&gt;=0,ISNUMBER(Summary!$F$5),Summary!$F$5&gt;0),J32/Summary!$F$5,"")</x:f>
        <x:v>0.31441597233139446</x:v>
      </x:c>
      <x:c r="L32" s="12" t="n">
        <x:f>IF(AND(ISNUMBER(J32),J32&gt;=0,ISNUMBER(D32),D32&gt;=0),J32*D32,"")</x:f>
        <x:v>10</x:v>
      </x:c>
      <x:c r="M32" s="12" t="n">
        <x:f>IF(AND(ISNUMBER(K32),ISNUMBER(D32),D32&gt;=0),K32*D32,"")</x:f>
        <x:v>0.31441597233139446</x:v>
      </x:c>
      <x:c r="N32" s="10" t="str">
        <x:v>Allowance</x:v>
      </x:c>
      <x:c r="O32" s="10" t="str">
        <x:v>vendor_BOM 列28; schematic; TI_TPS61023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3" ht="138" customHeight="1">
      <x:c r="A33" s="10" t="n">
        <x:v>29</x:v>
      </x:c>
      <x:c r="B33" s="10" t="str">
        <x:v>Q1,Q2,Q3,Q4</x:v>
      </x:c>
      <x:c r="C33" s="10" t="str">
        <x:v>N 通道功率 MOSFET</x:v>
      </x:c>
      <x:c r="D33" s="10" t="n">
        <x:v>4</x:v>
      </x:c>
      <x:c r="E33" s="10" t="str">
        <x:v>AO3400A</x:v>
      </x:c>
      <x:c r="F33" s="10" t="str">
        <x:v>AO3400A；30V N-MOSFET；SOT-23</x:v>
      </x:c>
      <x:c r="G33" s="10" t="str">
        <x:v>四路LED低側PWM開關
原理圖第2頁：LEDs</x:v>
      </x:c>
      <x:c r="H33" s="10" t="str">
        <x:v>核對封裝腳位、實際電流與溫升</x:v>
      </x:c>
      <x:c r="I33" s="10" t="str"/>
      <x:c r="J33" s="14" t="n">
        <x:v>5</x:v>
      </x:c>
      <x:c r="K33" s="12" t="n">
        <x:f>IF(AND(ISNUMBER(J33),J33&gt;=0,ISNUMBER(Summary!$F$5),Summary!$F$5&gt;0),J33/Summary!$F$5,"")</x:f>
        <x:v>0.15720798616569723</x:v>
      </x:c>
      <x:c r="L33" s="12" t="n">
        <x:f>IF(AND(ISNUMBER(J33),J33&gt;=0,ISNUMBER(D33),D33&gt;=0),J33*D33,"")</x:f>
        <x:v>20</x:v>
      </x:c>
      <x:c r="M33" s="12" t="n">
        <x:f>IF(AND(ISNUMBER(K33),ISNUMBER(D33),D33&gt;=0),K33*D33,"")</x:f>
        <x:v>0.6288319446627889</x:v>
      </x:c>
      <x:c r="N33" s="10" t="str">
        <x:v>Allowance</x:v>
      </x:c>
      <x:c r="O33" s="10" t="str">
        <x:v>vendor_BOM 列29; schematic; AOS_AO3400A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4" ht="138" customHeight="1">
      <x:c r="A34" s="10" t="n">
        <x:v>30</x:v>
      </x:c>
      <x:c r="B34" s="10" t="str">
        <x:v>R1</x:v>
      </x:c>
      <x:c r="C34" s="10" t="str">
        <x:v>電阻（阻值未提供）</x:v>
      </x:c>
      <x:c r="D34" s="10" t="n">
        <x:v>1</x:v>
      </x:c>
      <x:c r="E34" s="10" t="str"/>
      <x:c r="F34" s="10" t="str">
        <x:v>原廠 BOM 與原理圖皆未填阻值。</x:v>
      </x:c>
      <x:c r="G34" s="10" t="str">
        <x:v>充電終止電流設定
原理圖第 1 頁：充電／電源路徑</x:v>
      </x:c>
      <x:c r="H34" s="10" t="str">
        <x:v>待補MPN、封裝／高度、功率、容差、TCR及耐壓</x:v>
      </x:c>
      <x:c r="I34" s="10" t="str"/>
      <x:c r="J34" s="14" t="n">
        <x:v>1</x:v>
      </x:c>
      <x:c r="K34" s="12" t="n">
        <x:f>IF(AND(ISNUMBER(J34),J34&gt;=0,ISNUMBER(Summary!$F$5),Summary!$F$5&gt;0),J34/Summary!$F$5,"")</x:f>
        <x:v>0.03144159723313945</x:v>
      </x:c>
      <x:c r="L34" s="12" t="n">
        <x:f>IF(AND(ISNUMBER(J34),J34&gt;=0,ISNUMBER(D34),D34&gt;=0),J34*D34,"")</x:f>
        <x:v>1</x:v>
      </x:c>
      <x:c r="M34" s="12" t="n">
        <x:f>IF(AND(ISNUMBER(K34),ISNUMBER(D34),D34&gt;=0),K34*D34,"")</x:f>
        <x:v>0.03144159723313945</x:v>
      </x:c>
      <x:c r="N34" s="10" t="str">
        <x:v>Allowance</x:v>
      </x:c>
      <x:c r="O34" s="10" t="str">
        <x:v>vendor_BOM 列30;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5" ht="138" customHeight="1">
      <x:c r="A35" s="10" t="n">
        <x:v>31</x:v>
      </x:c>
      <x:c r="B35" s="10" t="str">
        <x:v>R2</x:v>
      </x:c>
      <x:c r="C35" s="10" t="str">
        <x:v>電阻（阻值未提供）</x:v>
      </x:c>
      <x:c r="D35" s="10" t="n">
        <x:v>1</x:v>
      </x:c>
      <x:c r="E35" s="10" t="str"/>
      <x:c r="F35" s="10" t="str">
        <x:v>原廠 BOM 與原理圖皆未填阻值。</x:v>
      </x:c>
      <x:c r="G35" s="10" t="str">
        <x:v>USB輸入限流設定
原理圖第 1 頁：充電／電源路徑</x:v>
      </x:c>
      <x:c r="H35" s="10" t="str">
        <x:v>待補MPN、封裝／高度、功率、容差、TCR及耐壓</x:v>
      </x:c>
      <x:c r="I35" s="10" t="str"/>
      <x:c r="J35" s="14" t="n">
        <x:v>1</x:v>
      </x:c>
      <x:c r="K35" s="12" t="n">
        <x:f>IF(AND(ISNUMBER(J35),J35&gt;=0,ISNUMBER(Summary!$F$5),Summary!$F$5&gt;0),J35/Summary!$F$5,"")</x:f>
        <x:v>0.03144159723313945</x:v>
      </x:c>
      <x:c r="L35" s="12" t="n">
        <x:f>IF(AND(ISNUMBER(J35),J35&gt;=0,ISNUMBER(D35),D35&gt;=0),J35*D35,"")</x:f>
        <x:v>1</x:v>
      </x:c>
      <x:c r="M35" s="12" t="n">
        <x:f>IF(AND(ISNUMBER(K35),ISNUMBER(D35),D35&gt;=0),K35*D35,"")</x:f>
        <x:v>0.03144159723313945</x:v>
      </x:c>
      <x:c r="N35" s="10" t="str">
        <x:v>Allowance</x:v>
      </x:c>
      <x:c r="O35" s="10" t="str">
        <x:v>vendor_BOM 列31;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6" ht="138" customHeight="1">
      <x:c r="A36" s="10" t="n">
        <x:v>32</x:v>
      </x:c>
      <x:c r="B36" s="10" t="str">
        <x:v>R3</x:v>
      </x:c>
      <x:c r="C36" s="10" t="str">
        <x:v>電阻（阻值未提供）</x:v>
      </x:c>
      <x:c r="D36" s="10" t="n">
        <x:v>1</x:v>
      </x:c>
      <x:c r="E36" s="10" t="str"/>
      <x:c r="F36" s="10" t="str">
        <x:v>原廠 BOM 與原理圖皆未填阻值。</x:v>
      </x:c>
      <x:c r="G36" s="10" t="str">
        <x:v>充電電流設定
原理圖第 1 頁：充電／電源路徑</x:v>
      </x:c>
      <x:c r="H36" s="10" t="str">
        <x:v>待補MPN、封裝／高度、功率、容差、TCR及耐壓</x:v>
      </x:c>
      <x:c r="I36" s="10" t="str"/>
      <x:c r="J36" s="14" t="n">
        <x:v>1</x:v>
      </x:c>
      <x:c r="K36" s="12" t="n">
        <x:f>IF(AND(ISNUMBER(J36),J36&gt;=0,ISNUMBER(Summary!$F$5),Summary!$F$5&gt;0),J36/Summary!$F$5,"")</x:f>
        <x:v>0.03144159723313945</x:v>
      </x:c>
      <x:c r="L36" s="12" t="n">
        <x:f>IF(AND(ISNUMBER(J36),J36&gt;=0,ISNUMBER(D36),D36&gt;=0),J36*D36,"")</x:f>
        <x:v>1</x:v>
      </x:c>
      <x:c r="M36" s="12" t="n">
        <x:f>IF(AND(ISNUMBER(K36),ISNUMBER(D36),D36&gt;=0),K36*D36,"")</x:f>
        <x:v>0.03144159723313945</x:v>
      </x:c>
      <x:c r="N36" s="10" t="str">
        <x:v>Allowance</x:v>
      </x:c>
      <x:c r="O36" s="10" t="str">
        <x:v>vendor_BOM 列32;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7" ht="138" customHeight="1">
      <x:c r="A37" s="10" t="n">
        <x:v>33</x:v>
      </x:c>
      <x:c r="B37" s="10" t="str">
        <x:v>R4</x:v>
      </x:c>
      <x:c r="C37" s="10" t="str">
        <x:v>電阻（阻值未提供）</x:v>
      </x:c>
      <x:c r="D37" s="10" t="n">
        <x:v>1</x:v>
      </x:c>
      <x:c r="E37" s="10" t="str"/>
      <x:c r="F37" s="10" t="str">
        <x:v>原廠 BOM 與原理圖皆未填阻值。</x:v>
      </x:c>
      <x:c r="G37" s="10" t="str">
        <x:v>SW1至升壓EN串聯
原理圖第 1 頁：電源啟用</x:v>
      </x:c>
      <x:c r="H37" s="10" t="str">
        <x:v>待補MPN、封裝／高度、功率、容差、TCR及耐壓</x:v>
      </x:c>
      <x:c r="I37" s="10" t="str"/>
      <x:c r="J37" s="14" t="n">
        <x:v>1</x:v>
      </x:c>
      <x:c r="K37" s="12" t="n">
        <x:f>IF(AND(ISNUMBER(J37),J37&gt;=0,ISNUMBER(Summary!$F$5),Summary!$F$5&gt;0),J37/Summary!$F$5,"")</x:f>
        <x:v>0.03144159723313945</x:v>
      </x:c>
      <x:c r="L37" s="12" t="n">
        <x:f>IF(AND(ISNUMBER(J37),J37&gt;=0,ISNUMBER(D37),D37&gt;=0),J37*D37,"")</x:f>
        <x:v>1</x:v>
      </x:c>
      <x:c r="M37" s="12" t="n">
        <x:f>IF(AND(ISNUMBER(K37),ISNUMBER(D37),D37&gt;=0),K37*D37,"")</x:f>
        <x:v>0.03144159723313945</x:v>
      </x:c>
      <x:c r="N37" s="10" t="str">
        <x:v>Allowance</x:v>
      </x:c>
      <x:c r="O37" s="10" t="str">
        <x:v>vendor_BOM 列33;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8" ht="138" customHeight="1">
      <x:c r="A38" s="10" t="n">
        <x:v>34</x:v>
      </x:c>
      <x:c r="B38" s="10" t="str">
        <x:v>R5</x:v>
      </x:c>
      <x:c r="C38" s="10" t="str">
        <x:v>電阻（阻值未提供）</x:v>
      </x:c>
      <x:c r="D38" s="10" t="n">
        <x:v>1</x:v>
      </x:c>
      <x:c r="E38" s="10" t="str"/>
      <x:c r="F38" s="10" t="str">
        <x:v>原廠 BOM 與原理圖皆未填阻值。</x:v>
      </x:c>
      <x:c r="G38" s="10" t="str">
        <x:v>DPS1狀態LED限流
原理圖第 1 頁：充電狀態顯示</x:v>
      </x:c>
      <x:c r="H38" s="10" t="str">
        <x:v>待補MPN、封裝／高度、功率、容差、TCR及耐壓</x:v>
      </x:c>
      <x:c r="I38" s="10" t="str"/>
      <x:c r="J38" s="14" t="n">
        <x:v>1</x:v>
      </x:c>
      <x:c r="K38" s="12" t="n">
        <x:f>IF(AND(ISNUMBER(J38),J38&gt;=0,ISNUMBER(Summary!$F$5),Summary!$F$5&gt;0),J38/Summary!$F$5,"")</x:f>
        <x:v>0.03144159723313945</x:v>
      </x:c>
      <x:c r="L38" s="12" t="n">
        <x:f>IF(AND(ISNUMBER(J38),J38&gt;=0,ISNUMBER(D38),D38&gt;=0),J38*D38,"")</x:f>
        <x:v>1</x:v>
      </x:c>
      <x:c r="M38" s="12" t="n">
        <x:f>IF(AND(ISNUMBER(K38),ISNUMBER(D38),D38&gt;=0),K38*D38,"")</x:f>
        <x:v>0.03144159723313945</x:v>
      </x:c>
      <x:c r="N38" s="10" t="str">
        <x:v>Allowance</x:v>
      </x:c>
      <x:c r="O38" s="10" t="str">
        <x:v>vendor_BOM 列34;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39" ht="138" customHeight="1">
      <x:c r="A39" s="10" t="n">
        <x:v>35</x:v>
      </x:c>
      <x:c r="B39" s="10" t="str">
        <x:v>R6</x:v>
      </x:c>
      <x:c r="C39" s="10" t="str">
        <x:v>電阻（阻值未提供）</x:v>
      </x:c>
      <x:c r="D39" s="10" t="n">
        <x:v>1</x:v>
      </x:c>
      <x:c r="E39" s="10" t="str"/>
      <x:c r="F39" s="10" t="str">
        <x:v>原廠 BOM 與原理圖皆未填阻值。</x:v>
      </x:c>
      <x:c r="G39" s="10" t="str">
        <x:v>升壓回授分壓上臂
原理圖第 1 頁：升壓電源</x:v>
      </x:c>
      <x:c r="H39" s="10" t="str">
        <x:v>待補MPN、封裝／高度、功率、容差、TCR及耐壓</x:v>
      </x:c>
      <x:c r="I39" s="10" t="str"/>
      <x:c r="J39" s="14" t="n">
        <x:v>1</x:v>
      </x:c>
      <x:c r="K39" s="12" t="n">
        <x:f>IF(AND(ISNUMBER(J39),J39&gt;=0,ISNUMBER(Summary!$F$5),Summary!$F$5&gt;0),J39/Summary!$F$5,"")</x:f>
        <x:v>0.03144159723313945</x:v>
      </x:c>
      <x:c r="L39" s="12" t="n">
        <x:f>IF(AND(ISNUMBER(J39),J39&gt;=0,ISNUMBER(D39),D39&gt;=0),J39*D39,"")</x:f>
        <x:v>1</x:v>
      </x:c>
      <x:c r="M39" s="12" t="n">
        <x:f>IF(AND(ISNUMBER(K39),ISNUMBER(D39),D39&gt;=0),K39*D39,"")</x:f>
        <x:v>0.03144159723313945</x:v>
      </x:c>
      <x:c r="N39" s="10" t="str">
        <x:v>Allowance</x:v>
      </x:c>
      <x:c r="O39" s="10" t="str">
        <x:v>vendor_BOM 列35;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0" ht="138" customHeight="1">
      <x:c r="A40" s="10" t="n">
        <x:v>36</x:v>
      </x:c>
      <x:c r="B40" s="10" t="str">
        <x:v>R7</x:v>
      </x:c>
      <x:c r="C40" s="10" t="str">
        <x:v>電阻（阻值未提供）</x:v>
      </x:c>
      <x:c r="D40" s="10" t="n">
        <x:v>1</x:v>
      </x:c>
      <x:c r="E40" s="10" t="str"/>
      <x:c r="F40" s="10" t="str">
        <x:v>原廠 BOM 與原理圖皆未填阻值。</x:v>
      </x:c>
      <x:c r="G40" s="10" t="str">
        <x:v>DPS2充電LED限流
原理圖第 1 頁：充電狀態顯示</x:v>
      </x:c>
      <x:c r="H40" s="10" t="str">
        <x:v>待補MPN、封裝／高度、功率、容差、TCR及耐壓</x:v>
      </x:c>
      <x:c r="I40" s="10" t="str"/>
      <x:c r="J40" s="14" t="n">
        <x:v>1</x:v>
      </x:c>
      <x:c r="K40" s="12" t="n">
        <x:f>IF(AND(ISNUMBER(J40),J40&gt;=0,ISNUMBER(Summary!$F$5),Summary!$F$5&gt;0),J40/Summary!$F$5,"")</x:f>
        <x:v>0.03144159723313945</x:v>
      </x:c>
      <x:c r="L40" s="12" t="n">
        <x:f>IF(AND(ISNUMBER(J40),J40&gt;=0,ISNUMBER(D40),D40&gt;=0),J40*D40,"")</x:f>
        <x:v>1</x:v>
      </x:c>
      <x:c r="M40" s="12" t="n">
        <x:f>IF(AND(ISNUMBER(K40),ISNUMBER(D40),D40&gt;=0),K40*D40,"")</x:f>
        <x:v>0.03144159723313945</x:v>
      </x:c>
      <x:c r="N40" s="10" t="str">
        <x:v>Allowance</x:v>
      </x:c>
      <x:c r="O40" s="10" t="str">
        <x:v>vendor_BOM 列36;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1" ht="138" customHeight="1">
      <x:c r="A41" s="10" t="n">
        <x:v>37</x:v>
      </x:c>
      <x:c r="B41" s="10" t="str">
        <x:v>R8</x:v>
      </x:c>
      <x:c r="C41" s="10" t="str">
        <x:v>電阻（阻值未提供）</x:v>
      </x:c>
      <x:c r="D41" s="10" t="n">
        <x:v>1</x:v>
      </x:c>
      <x:c r="E41" s="10" t="str"/>
      <x:c r="F41" s="10" t="str">
        <x:v>原廠 BOM 與原理圖皆未填阻值。</x:v>
      </x:c>
      <x:c r="G41" s="10" t="str">
        <x:v>升壓回授分壓下臂
原理圖第 1 頁：升壓電源</x:v>
      </x:c>
      <x:c r="H41" s="10" t="str">
        <x:v>待補MPN、封裝／高度、功率、容差、TCR及耐壓</x:v>
      </x:c>
      <x:c r="I41" s="10" t="str"/>
      <x:c r="J41" s="14" t="n">
        <x:v>1</x:v>
      </x:c>
      <x:c r="K41" s="12" t="n">
        <x:f>IF(AND(ISNUMBER(J41),J41&gt;=0,ISNUMBER(Summary!$F$5),Summary!$F$5&gt;0),J41/Summary!$F$5,"")</x:f>
        <x:v>0.03144159723313945</x:v>
      </x:c>
      <x:c r="L41" s="12" t="n">
        <x:f>IF(AND(ISNUMBER(J41),J41&gt;=0,ISNUMBER(D41),D41&gt;=0),J41*D41,"")</x:f>
        <x:v>1</x:v>
      </x:c>
      <x:c r="M41" s="12" t="n">
        <x:f>IF(AND(ISNUMBER(K41),ISNUMBER(D41),D41&gt;=0),K41*D41,"")</x:f>
        <x:v>0.03144159723313945</x:v>
      </x:c>
      <x:c r="N41" s="10" t="str">
        <x:v>Allowance</x:v>
      </x:c>
      <x:c r="O41" s="10" t="str">
        <x:v>vendor_BOM 列37;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2" ht="138" customHeight="1">
      <x:c r="A42" s="10" t="n">
        <x:v>38</x:v>
      </x:c>
      <x:c r="B42" s="10" t="str">
        <x:v>R9</x:v>
      </x:c>
      <x:c r="C42" s="10" t="str">
        <x:v>電阻（阻值未提供）</x:v>
      </x:c>
      <x:c r="D42" s="10" t="n">
        <x:v>1</x:v>
      </x:c>
      <x:c r="E42" s="10" t="str"/>
      <x:c r="F42" s="10" t="str">
        <x:v>原廠 BOM 與原理圖皆未填阻值。</x:v>
      </x:c>
      <x:c r="G42" s="10" t="str">
        <x:v>充電器TS偏壓；非已驗證溫度感測
原理圖第 1 頁：充電 TS</x:v>
      </x:c>
      <x:c r="H42" s="10" t="str">
        <x:v>待補MPN、封裝／高度、功率、容差、TCR及耐壓</x:v>
      </x:c>
      <x:c r="I42" s="10" t="str"/>
      <x:c r="J42" s="14" t="n">
        <x:v>1</x:v>
      </x:c>
      <x:c r="K42" s="12" t="n">
        <x:f>IF(AND(ISNUMBER(J42),J42&gt;=0,ISNUMBER(Summary!$F$5),Summary!$F$5&gt;0),J42/Summary!$F$5,"")</x:f>
        <x:v>0.03144159723313945</x:v>
      </x:c>
      <x:c r="L42" s="12" t="n">
        <x:f>IF(AND(ISNUMBER(J42),J42&gt;=0,ISNUMBER(D42),D42&gt;=0),J42*D42,"")</x:f>
        <x:v>1</x:v>
      </x:c>
      <x:c r="M42" s="12" t="n">
        <x:f>IF(AND(ISNUMBER(K42),ISNUMBER(D42),D42&gt;=0),K42*D42,"")</x:f>
        <x:v>0.03144159723313945</x:v>
      </x:c>
      <x:c r="N42" s="10" t="str">
        <x:v>Allowance</x:v>
      </x:c>
      <x:c r="O42" s="10" t="str">
        <x:v>vendor_BOM 列38;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3" ht="138" customHeight="1">
      <x:c r="A43" s="10" t="n">
        <x:v>39</x:v>
      </x:c>
      <x:c r="B43" s="10" t="str">
        <x:v>R10</x:v>
      </x:c>
      <x:c r="C43" s="10" t="str">
        <x:v>電阻（阻值未提供）</x:v>
      </x:c>
      <x:c r="D43" s="10" t="n">
        <x:v>1</x:v>
      </x:c>
      <x:c r="E43" s="10" t="str"/>
      <x:c r="F43" s="10" t="str">
        <x:v>原廠 BOM 與原理圖皆未填阻值。</x:v>
      </x:c>
      <x:c r="G43" s="10" t="str">
        <x:v>U3 P2分壓上臂
原理圖第 1 頁：U3 電源控制周邊</x:v>
      </x:c>
      <x:c r="H43" s="10" t="str">
        <x:v>待補MPN、封裝／高度、功率、容差、TCR及耐壓</x:v>
      </x:c>
      <x:c r="I43" s="10" t="str"/>
      <x:c r="J43" s="14" t="n">
        <x:v>1</x:v>
      </x:c>
      <x:c r="K43" s="12" t="n">
        <x:f>IF(AND(ISNUMBER(J43),J43&gt;=0,ISNUMBER(Summary!$F$5),Summary!$F$5&gt;0),J43/Summary!$F$5,"")</x:f>
        <x:v>0.03144159723313945</x:v>
      </x:c>
      <x:c r="L43" s="12" t="n">
        <x:f>IF(AND(ISNUMBER(J43),J43&gt;=0,ISNUMBER(D43),D43&gt;=0),J43*D43,"")</x:f>
        <x:v>1</x:v>
      </x:c>
      <x:c r="M43" s="12" t="n">
        <x:f>IF(AND(ISNUMBER(K43),ISNUMBER(D43),D43&gt;=0),K43*D43,"")</x:f>
        <x:v>0.03144159723313945</x:v>
      </x:c>
      <x:c r="N43" s="10" t="str">
        <x:v>Allowance</x:v>
      </x:c>
      <x:c r="O43" s="10" t="str">
        <x:v>vendor_BOM 列39;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4" ht="138" customHeight="1">
      <x:c r="A44" s="10" t="n">
        <x:v>40</x:v>
      </x:c>
      <x:c r="B44" s="10" t="str">
        <x:v>R11</x:v>
      </x:c>
      <x:c r="C44" s="10" t="str">
        <x:v>電阻（阻值未提供）</x:v>
      </x:c>
      <x:c r="D44" s="10" t="n">
        <x:v>1</x:v>
      </x:c>
      <x:c r="E44" s="10" t="str"/>
      <x:c r="F44" s="10" t="str">
        <x:v>原廠 BOM 與原理圖皆未填阻值。</x:v>
      </x:c>
      <x:c r="G44" s="10" t="str">
        <x:v>U1 EN／U3 P3下拉
原理圖第 1 頁：電源啟用</x:v>
      </x:c>
      <x:c r="H44" s="10" t="str">
        <x:v>待補MPN、封裝／高度、功率、容差、TCR及耐壓</x:v>
      </x:c>
      <x:c r="I44" s="10" t="str"/>
      <x:c r="J44" s="14" t="n">
        <x:v>1</x:v>
      </x:c>
      <x:c r="K44" s="12" t="n">
        <x:f>IF(AND(ISNUMBER(J44),J44&gt;=0,ISNUMBER(Summary!$F$5),Summary!$F$5&gt;0),J44/Summary!$F$5,"")</x:f>
        <x:v>0.03144159723313945</x:v>
      </x:c>
      <x:c r="L44" s="12" t="n">
        <x:f>IF(AND(ISNUMBER(J44),J44&gt;=0,ISNUMBER(D44),D44&gt;=0),J44*D44,"")</x:f>
        <x:v>1</x:v>
      </x:c>
      <x:c r="M44" s="12" t="n">
        <x:f>IF(AND(ISNUMBER(K44),ISNUMBER(D44),D44&gt;=0),K44*D44,"")</x:f>
        <x:v>0.03144159723313945</x:v>
      </x:c>
      <x:c r="N44" s="10" t="str">
        <x:v>Allowance</x:v>
      </x:c>
      <x:c r="O44" s="10" t="str">
        <x:v>vendor_BOM 列40;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5" ht="138" customHeight="1">
      <x:c r="A45" s="10" t="n">
        <x:v>41</x:v>
      </x:c>
      <x:c r="B45" s="10" t="str">
        <x:v>R12</x:v>
      </x:c>
      <x:c r="C45" s="10" t="str">
        <x:v>電阻（阻值未提供）</x:v>
      </x:c>
      <x:c r="D45" s="10" t="n">
        <x:v>1</x:v>
      </x:c>
      <x:c r="E45" s="10" t="str"/>
      <x:c r="F45" s="10" t="str">
        <x:v>原廠 BOM 與原理圖皆未填阻值。</x:v>
      </x:c>
      <x:c r="G45" s="10" t="str">
        <x:v>U3 P2分壓下臂
原理圖第 1 頁：U3 電源控制周邊</x:v>
      </x:c>
      <x:c r="H45" s="10" t="str">
        <x:v>待補MPN、封裝／高度、功率、容差、TCR及耐壓</x:v>
      </x:c>
      <x:c r="I45" s="10" t="str"/>
      <x:c r="J45" s="14" t="n">
        <x:v>1</x:v>
      </x:c>
      <x:c r="K45" s="12" t="n">
        <x:f>IF(AND(ISNUMBER(J45),J45&gt;=0,ISNUMBER(Summary!$F$5),Summary!$F$5&gt;0),J45/Summary!$F$5,"")</x:f>
        <x:v>0.03144159723313945</x:v>
      </x:c>
      <x:c r="L45" s="12" t="n">
        <x:f>IF(AND(ISNUMBER(J45),J45&gt;=0,ISNUMBER(D45),D45&gt;=0),J45*D45,"")</x:f>
        <x:v>1</x:v>
      </x:c>
      <x:c r="M45" s="12" t="n">
        <x:f>IF(AND(ISNUMBER(K45),ISNUMBER(D45),D45&gt;=0),K45*D45,"")</x:f>
        <x:v>0.03144159723313945</x:v>
      </x:c>
      <x:c r="N45" s="10" t="str">
        <x:v>Allowance</x:v>
      </x:c>
      <x:c r="O45" s="10" t="str">
        <x:v>vendor_BOM 列41;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6" ht="138" customHeight="1">
      <x:c r="A46" s="10" t="n">
        <x:v>42</x:v>
      </x:c>
      <x:c r="B46" s="10" t="str">
        <x:v>R13</x:v>
      </x:c>
      <x:c r="C46" s="10" t="str">
        <x:v>電阻（阻值未提供）</x:v>
      </x:c>
      <x:c r="D46" s="10" t="n">
        <x:v>1</x:v>
      </x:c>
      <x:c r="E46" s="10" t="str"/>
      <x:c r="F46" s="10" t="str">
        <x:v>原廠 BOM 與原理圖皆未填阻值。</x:v>
      </x:c>
      <x:c r="G46" s="10" t="str">
        <x:v>USB-C CC1下拉
原理圖第 1 頁：USB-C</x:v>
      </x:c>
      <x:c r="H46" s="10" t="str">
        <x:v>待補MPN、封裝／高度、功率、容差、TCR及耐壓</x:v>
      </x:c>
      <x:c r="I46" s="10" t="str"/>
      <x:c r="J46" s="14" t="n">
        <x:v>1</x:v>
      </x:c>
      <x:c r="K46" s="12" t="n">
        <x:f>IF(AND(ISNUMBER(J46),J46&gt;=0,ISNUMBER(Summary!$F$5),Summary!$F$5&gt;0),J46/Summary!$F$5,"")</x:f>
        <x:v>0.03144159723313945</x:v>
      </x:c>
      <x:c r="L46" s="12" t="n">
        <x:f>IF(AND(ISNUMBER(J46),J46&gt;=0,ISNUMBER(D46),D46&gt;=0),J46*D46,"")</x:f>
        <x:v>1</x:v>
      </x:c>
      <x:c r="M46" s="12" t="n">
        <x:f>IF(AND(ISNUMBER(K46),ISNUMBER(D46),D46&gt;=0),K46*D46,"")</x:f>
        <x:v>0.03144159723313945</x:v>
      </x:c>
      <x:c r="N46" s="10" t="str">
        <x:v>Allowance</x:v>
      </x:c>
      <x:c r="O46" s="10" t="str">
        <x:v>vendor_BOM 列42;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7" ht="138" customHeight="1">
      <x:c r="A47" s="10" t="n">
        <x:v>43</x:v>
      </x:c>
      <x:c r="B47" s="10" t="str">
        <x:v>R14</x:v>
      </x:c>
      <x:c r="C47" s="10" t="str">
        <x:v>電阻（阻值未提供）</x:v>
      </x:c>
      <x:c r="D47" s="10" t="n">
        <x:v>1</x:v>
      </x:c>
      <x:c r="E47" s="10" t="str"/>
      <x:c r="F47" s="10" t="str">
        <x:v>原廠 BOM 與原理圖皆未填阻值。</x:v>
      </x:c>
      <x:c r="G47" s="10" t="str">
        <x:v>USB-C CC2下拉
原理圖第 1 頁：USB-C</x:v>
      </x:c>
      <x:c r="H47" s="10" t="str">
        <x:v>待補MPN、封裝／高度、功率、容差、TCR及耐壓</x:v>
      </x:c>
      <x:c r="I47" s="10" t="str"/>
      <x:c r="J47" s="14" t="n">
        <x:v>1</x:v>
      </x:c>
      <x:c r="K47" s="12" t="n">
        <x:f>IF(AND(ISNUMBER(J47),J47&gt;=0,ISNUMBER(Summary!$F$5),Summary!$F$5&gt;0),J47/Summary!$F$5,"")</x:f>
        <x:v>0.03144159723313945</x:v>
      </x:c>
      <x:c r="L47" s="12" t="n">
        <x:f>IF(AND(ISNUMBER(J47),J47&gt;=0,ISNUMBER(D47),D47&gt;=0),J47*D47,"")</x:f>
        <x:v>1</x:v>
      </x:c>
      <x:c r="M47" s="12" t="n">
        <x:f>IF(AND(ISNUMBER(K47),ISNUMBER(D47),D47&gt;=0),K47*D47,"")</x:f>
        <x:v>0.03144159723313945</x:v>
      </x:c>
      <x:c r="N47" s="10" t="str">
        <x:v>Allowance</x:v>
      </x:c>
      <x:c r="O47" s="10" t="str">
        <x:v>vendor_BOM 列43;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8" ht="138" customHeight="1">
      <x:c r="A48" s="10" t="n">
        <x:v>44</x:v>
      </x:c>
      <x:c r="B48" s="10" t="str">
        <x:v>R15,R28,R35</x:v>
      </x:c>
      <x:c r="C48" s="10" t="str">
        <x:v>10 kΩ 電阻</x:v>
      </x:c>
      <x:c r="D48" s="10" t="n">
        <x:v>3</x:v>
      </x:c>
      <x:c r="E48" s="10" t="str">
        <x:v>10k</x:v>
      </x:c>
      <x:c r="F48" s="10" t="str">
        <x:v>原廠標稱阻值 10k。</x:v>
      </x:c>
      <x:c r="G48" s="10" t="str">
        <x:v>ESP_EN、參考SHDN、ADC DIN上拉
原理圖第 2 頁：ESP32 復位；原理圖第 2 頁：2V5_REF；原理圖第 2 頁：ADC</x:v>
      </x:c>
      <x:c r="H48" s="10" t="str">
        <x:v>待補MPN、封裝／高度、功率、容差、TCR及耐壓</x:v>
      </x:c>
      <x:c r="I48" s="10" t="str"/>
      <x:c r="J48" s="14" t="n">
        <x:v>1</x:v>
      </x:c>
      <x:c r="K48" s="12" t="n">
        <x:f>IF(AND(ISNUMBER(J48),J48&gt;=0,ISNUMBER(Summary!$F$5),Summary!$F$5&gt;0),J48/Summary!$F$5,"")</x:f>
        <x:v>0.03144159723313945</x:v>
      </x:c>
      <x:c r="L48" s="12" t="n">
        <x:f>IF(AND(ISNUMBER(J48),J48&gt;=0,ISNUMBER(D48),D48&gt;=0),J48*D48,"")</x:f>
        <x:v>3</x:v>
      </x:c>
      <x:c r="M48" s="12" t="n">
        <x:f>IF(AND(ISNUMBER(K48),ISNUMBER(D48),D48&gt;=0),K48*D48,"")</x:f>
        <x:v>0.09432479169941835</x:v>
      </x:c>
      <x:c r="N48" s="10" t="str">
        <x:v>Allowance</x:v>
      </x:c>
      <x:c r="O48" s="10" t="str">
        <x:v>vendor_BOM 列44;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49" ht="138" customHeight="1">
      <x:c r="A49" s="10" t="n">
        <x:v>45</x:v>
      </x:c>
      <x:c r="B49" s="10" t="str">
        <x:v>R16,R21,R24,R29,R30,R31,R36</x:v>
      </x:c>
      <x:c r="C49" s="10" t="str">
        <x:v>100 Ω 電阻</x:v>
      </x:c>
      <x:c r="D49" s="10" t="n">
        <x:v>7</x:v>
      </x:c>
      <x:c r="E49" s="10" t="str">
        <x:v>100R</x:v>
      </x:c>
      <x:c r="F49" s="10" t="str">
        <x:v>原廠標稱阻值 100R。</x:v>
      </x:c>
      <x:c r="G49" s="10" t="str">
        <x:v>LED限流；TIA/ADC隔離及供電濾波
原理圖第 2 頁：LEDs；原理圖第 2 頁：TIA／ADC；原理圖第 2 頁：TIA 供電</x:v>
      </x:c>
      <x:c r="H49" s="10" t="str">
        <x:v>待補MPN、封裝／高度、功率、容差、TCR及耐壓</x:v>
      </x:c>
      <x:c r="I49" s="10" t="str"/>
      <x:c r="J49" s="14" t="n">
        <x:v>1</x:v>
      </x:c>
      <x:c r="K49" s="12" t="n">
        <x:f>IF(AND(ISNUMBER(J49),J49&gt;=0,ISNUMBER(Summary!$F$5),Summary!$F$5&gt;0),J49/Summary!$F$5,"")</x:f>
        <x:v>0.03144159723313945</x:v>
      </x:c>
      <x:c r="L49" s="12" t="n">
        <x:f>IF(AND(ISNUMBER(J49),J49&gt;=0,ISNUMBER(D49),D49&gt;=0),J49*D49,"")</x:f>
        <x:v>7</x:v>
      </x:c>
      <x:c r="M49" s="12" t="n">
        <x:f>IF(AND(ISNUMBER(K49),ISNUMBER(D49),D49&gt;=0),K49*D49,"")</x:f>
        <x:v>0.22009118063197614</x:v>
      </x:c>
      <x:c r="N49" s="10" t="str">
        <x:v>Allowance</x:v>
      </x:c>
      <x:c r="O49" s="10" t="str">
        <x:v>vendor_BOM 列45;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0" ht="138" customHeight="1">
      <x:c r="A50" s="10" t="n">
        <x:v>46</x:v>
      </x:c>
      <x:c r="B50" s="10" t="str">
        <x:v>R17,R22,R25,R32</x:v>
      </x:c>
      <x:c r="C50" s="10" t="str">
        <x:v>220 Ω 電阻</x:v>
      </x:c>
      <x:c r="D50" s="10" t="n">
        <x:v>4</x:v>
      </x:c>
      <x:c r="E50" s="10" t="str">
        <x:v>220R</x:v>
      </x:c>
      <x:c r="F50" s="10" t="str">
        <x:v>原廠標稱阻值 220R。</x:v>
      </x:c>
      <x:c r="G50" s="10" t="str">
        <x:v>LED MOSFET閘極串聯
原理圖第 2 頁：LEDs</x:v>
      </x:c>
      <x:c r="H50" s="10" t="str">
        <x:v>待補MPN、封裝／高度、功率、容差、TCR及耐壓</x:v>
      </x:c>
      <x:c r="I50" s="10" t="str"/>
      <x:c r="J50" s="14" t="n">
        <x:v>1</x:v>
      </x:c>
      <x:c r="K50" s="12" t="n">
        <x:f>IF(AND(ISNUMBER(J50),J50&gt;=0,ISNUMBER(Summary!$F$5),Summary!$F$5&gt;0),J50/Summary!$F$5,"")</x:f>
        <x:v>0.03144159723313945</x:v>
      </x:c>
      <x:c r="L50" s="12" t="n">
        <x:f>IF(AND(ISNUMBER(J50),J50&gt;=0,ISNUMBER(D50),D50&gt;=0),J50*D50,"")</x:f>
        <x:v>4</x:v>
      </x:c>
      <x:c r="M50" s="12" t="n">
        <x:f>IF(AND(ISNUMBER(K50),ISNUMBER(D50),D50&gt;=0),K50*D50,"")</x:f>
        <x:v>0.1257663889325578</x:v>
      </x:c>
      <x:c r="N50" s="10" t="str">
        <x:v>Allowance</x:v>
      </x:c>
      <x:c r="O50" s="10" t="str">
        <x:v>vendor_BOM 列46;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1" ht="138" customHeight="1">
      <x:c r="A51" s="10" t="n">
        <x:v>47</x:v>
      </x:c>
      <x:c r="B51" s="10" t="str">
        <x:v>R20,R23,R26,R33</x:v>
      </x:c>
      <x:c r="C51" s="10" t="str">
        <x:v>100 kΩ 電阻</x:v>
      </x:c>
      <x:c r="D51" s="10" t="n">
        <x:v>4</x:v>
      </x:c>
      <x:c r="E51" s="10" t="str">
        <x:v>100k</x:v>
      </x:c>
      <x:c r="F51" s="10" t="str">
        <x:v>原廠標稱阻值 100k。</x:v>
      </x:c>
      <x:c r="G51" s="10" t="str">
        <x:v>LED MOSFET閘極下拉
原理圖第 2 頁：LEDs</x:v>
      </x:c>
      <x:c r="H51" s="10" t="str">
        <x:v>待補MPN、封裝／高度、功率、容差、TCR及耐壓</x:v>
      </x:c>
      <x:c r="I51" s="10" t="str"/>
      <x:c r="J51" s="14" t="n">
        <x:v>1</x:v>
      </x:c>
      <x:c r="K51" s="12" t="n">
        <x:f>IF(AND(ISNUMBER(J51),J51&gt;=0,ISNUMBER(Summary!$F$5),Summary!$F$5&gt;0),J51/Summary!$F$5,"")</x:f>
        <x:v>0.03144159723313945</x:v>
      </x:c>
      <x:c r="L51" s="12" t="n">
        <x:f>IF(AND(ISNUMBER(J51),J51&gt;=0,ISNUMBER(D51),D51&gt;=0),J51*D51,"")</x:f>
        <x:v>4</x:v>
      </x:c>
      <x:c r="M51" s="12" t="n">
        <x:f>IF(AND(ISNUMBER(K51),ISNUMBER(D51),D51&gt;=0),K51*D51,"")</x:f>
        <x:v>0.1257663889325578</x:v>
      </x:c>
      <x:c r="N51" s="10" t="str">
        <x:v>Allowance</x:v>
      </x:c>
      <x:c r="O51" s="10" t="str">
        <x:v>vendor_BOM 列47;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2" ht="138" customHeight="1">
      <x:c r="A52" s="10" t="n">
        <x:v>48</x:v>
      </x:c>
      <x:c r="B52" s="10" t="str">
        <x:v>R27</x:v>
      </x:c>
      <x:c r="C52" s="10" t="str">
        <x:v>100 MΩ 電阻</x:v>
      </x:c>
      <x:c r="D52" s="10" t="n">
        <x:v>1</x:v>
      </x:c>
      <x:c r="E52" s="10" t="str">
        <x:v>100M</x:v>
      </x:c>
      <x:c r="F52" s="10" t="str">
        <x:v>原廠標稱阻值 100M。</x:v>
      </x:c>
      <x:c r="G52" s="10" t="str">
        <x:v>PD跨阻放大器回授
原理圖第 2 頁：TIA</x:v>
      </x:c>
      <x:c r="H52" s="10" t="str">
        <x:v>待補MPN／封裝、額定／容差；核對漏電及雜訊</x:v>
      </x:c>
      <x:c r="I52" s="10" t="str"/>
      <x:c r="J52" s="14" t="n">
        <x:v>30</x:v>
      </x:c>
      <x:c r="K52" s="12" t="n">
        <x:f>IF(AND(ISNUMBER(J52),J52&gt;=0,ISNUMBER(Summary!$F$5),Summary!$F$5&gt;0),J52/Summary!$F$5,"")</x:f>
        <x:v>0.9432479169941833</x:v>
      </x:c>
      <x:c r="L52" s="12" t="n">
        <x:f>IF(AND(ISNUMBER(J52),J52&gt;=0,ISNUMBER(D52),D52&gt;=0),J52*D52,"")</x:f>
        <x:v>30</x:v>
      </x:c>
      <x:c r="M52" s="12" t="n">
        <x:f>IF(AND(ISNUMBER(K52),ISNUMBER(D52),D52&gt;=0),K52*D52,"")</x:f>
        <x:v>0.9432479169941833</x:v>
      </x:c>
      <x:c r="N52" s="10" t="str">
        <x:v>Allowance</x:v>
      </x:c>
      <x:c r="O52" s="10" t="str">
        <x:v>vendor_BOM 列48;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3" ht="138" customHeight="1">
      <x:c r="A53" s="10" t="n">
        <x:v>49</x:v>
      </x:c>
      <x:c r="B53" s="10" t="str">
        <x:v>R34</x:v>
      </x:c>
      <x:c r="C53" s="10" t="str">
        <x:v>0.1 Ω 電阻</x:v>
      </x:c>
      <x:c r="D53" s="10" t="n">
        <x:v>1</x:v>
      </x:c>
      <x:c r="E53" s="10" t="str">
        <x:v>0.1R</x:v>
      </x:c>
      <x:c r="F53" s="10" t="str">
        <x:v>原廠標稱阻值 0.1R。</x:v>
      </x:c>
      <x:c r="G53" s="10" t="str">
        <x:v>與C28串聯的參考旁路支路
原理圖第 2 頁：ADC 參考</x:v>
      </x:c>
      <x:c r="H53" s="10" t="str">
        <x:v>待補MPN、封裝／高度、功率、容差、TCR及耐壓</x:v>
      </x:c>
      <x:c r="I53" s="10" t="str"/>
      <x:c r="J53" s="14" t="n">
        <x:v>5</x:v>
      </x:c>
      <x:c r="K53" s="12" t="n">
        <x:f>IF(AND(ISNUMBER(J53),J53&gt;=0,ISNUMBER(Summary!$F$5),Summary!$F$5&gt;0),J53/Summary!$F$5,"")</x:f>
        <x:v>0.15720798616569723</x:v>
      </x:c>
      <x:c r="L53" s="12" t="n">
        <x:f>IF(AND(ISNUMBER(J53),J53&gt;=0,ISNUMBER(D53),D53&gt;=0),J53*D53,"")</x:f>
        <x:v>5</x:v>
      </x:c>
      <x:c r="M53" s="12" t="n">
        <x:f>IF(AND(ISNUMBER(K53),ISNUMBER(D53),D53&gt;=0),K53*D53,"")</x:f>
        <x:v>0.15720798616569723</x:v>
      </x:c>
      <x:c r="N53" s="10" t="str">
        <x:v>Allowance</x:v>
      </x:c>
      <x:c r="O53" s="10" t="str">
        <x:v>vendor_BOM 列49;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4" ht="138" customHeight="1">
      <x:c r="A54" s="10" t="n">
        <x:v>50</x:v>
      </x:c>
      <x:c r="B54" s="10" t="str">
        <x:v>R37,R38</x:v>
      </x:c>
      <x:c r="C54" s="10" t="str">
        <x:v>47 Ω 電阻</x:v>
      </x:c>
      <x:c r="D54" s="10" t="n">
        <x:v>2</x:v>
      </x:c>
      <x:c r="E54" s="10" t="str">
        <x:v>47R</x:v>
      </x:c>
      <x:c r="F54" s="10" t="str">
        <x:v>原廠標稱阻值 47R。</x:v>
      </x:c>
      <x:c r="G54" s="10" t="str">
        <x:v>ADC SCLK／CONVST串聯
原理圖第 2 頁：ADC 數位介面</x:v>
      </x:c>
      <x:c r="H54" s="10" t="str">
        <x:v>待補MPN、封裝／高度、功率、容差、TCR及耐壓</x:v>
      </x:c>
      <x:c r="I54" s="10" t="str"/>
      <x:c r="J54" s="14" t="n">
        <x:v>1</x:v>
      </x:c>
      <x:c r="K54" s="12" t="n">
        <x:f>IF(AND(ISNUMBER(J54),J54&gt;=0,ISNUMBER(Summary!$F$5),Summary!$F$5&gt;0),J54/Summary!$F$5,"")</x:f>
        <x:v>0.03144159723313945</x:v>
      </x:c>
      <x:c r="L54" s="12" t="n">
        <x:f>IF(AND(ISNUMBER(J54),J54&gt;=0,ISNUMBER(D54),D54&gt;=0),J54*D54,"")</x:f>
        <x:v>2</x:v>
      </x:c>
      <x:c r="M54" s="12" t="n">
        <x:f>IF(AND(ISNUMBER(K54),ISNUMBER(D54),D54&gt;=0),K54*D54,"")</x:f>
        <x:v>0.0628831944662789</x:v>
      </x:c>
      <x:c r="N54" s="10" t="str">
        <x:v>Allowance</x:v>
      </x:c>
      <x:c r="O54" s="10" t="str">
        <x:v>vendor_BOM 列50;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5" ht="138" customHeight="1">
      <x:c r="A55" s="10" t="n">
        <x:v>51</x:v>
      </x:c>
      <x:c r="B55" s="10" t="str">
        <x:v>SW1</x:v>
      </x:c>
      <x:c r="C55" s="10" t="str">
        <x:v>電源啟用切換開關</x:v>
      </x:c>
      <x:c r="D55" s="10" t="n">
        <x:v>1</x:v>
      </x:c>
      <x:c r="E55" s="10" t="str">
        <x:v>SW1</x:v>
      </x:c>
      <x:c r="F55" s="10" t="str">
        <x:v>3接點COMM/B/A；A未接；實體型號未定</x:v>
      </x:c>
      <x:c r="G55" s="10" t="str">
        <x:v>升壓EN啟用；非全電源隔離
原理圖第1頁：SW1／電源啟用</x:v>
      </x:c>
      <x:c r="H55" s="10" t="str">
        <x:v>待補MPN、型式、柄位／行程、額定及開孔</x:v>
      </x:c>
      <x:c r="I55" s="10" t="str"/>
      <x:c r="J55" s="14" t="n">
        <x:v>15</x:v>
      </x:c>
      <x:c r="K55" s="12" t="n">
        <x:f>IF(AND(ISNUMBER(J55),J55&gt;=0,ISNUMBER(Summary!$F$5),Summary!$F$5&gt;0),J55/Summary!$F$5,"")</x:f>
        <x:v>0.47162395849709166</x:v>
      </x:c>
      <x:c r="L55" s="12" t="n">
        <x:f>IF(AND(ISNUMBER(J55),J55&gt;=0,ISNUMBER(D55),D55&gt;=0),J55*D55,"")</x:f>
        <x:v>15</x:v>
      </x:c>
      <x:c r="M55" s="12" t="n">
        <x:f>IF(AND(ISNUMBER(K55),ISNUMBER(D55),D55&gt;=0),K55*D55,"")</x:f>
        <x:v>0.47162395849709166</x:v>
      </x:c>
      <x:c r="N55" s="10" t="str">
        <x:v>Allowance</x:v>
      </x:c>
      <x:c r="O55" s="10" t="str">
        <x:v>vendor_BOM 列51;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6" ht="138" customHeight="1">
      <x:c r="A56" s="10" t="n">
        <x:v>52</x:v>
      </x:c>
      <x:c r="B56" s="10" t="str">
        <x:v>SW2,SW3</x:v>
      </x:c>
      <x:c r="C56" s="10" t="str">
        <x:v>輕觸按鍵</x:v>
      </x:c>
      <x:c r="D56" s="10" t="n">
        <x:v>2</x:v>
      </x:c>
      <x:c r="E56" s="10" t="str">
        <x:v>Tactile_Switch</x:v>
      </x:c>
      <x:c r="F56" s="10" t="str">
        <x:v>SW2/SW3輕觸按鍵；按下將訊號接地</x:v>
      </x:c>
      <x:c r="G56" s="10" t="str">
        <x:v>SW2復位；SW3下載模式
原理圖第2頁：ESP32</x:v>
      </x:c>
      <x:c r="H56" s="10" t="str">
        <x:v>待補MPN、封裝／高度、操作力及接點額定</x:v>
      </x:c>
      <x:c r="I56" s="10" t="str"/>
      <x:c r="J56" s="14" t="n">
        <x:v>5</x:v>
      </x:c>
      <x:c r="K56" s="12" t="n">
        <x:f>IF(AND(ISNUMBER(J56),J56&gt;=0,ISNUMBER(Summary!$F$5),Summary!$F$5&gt;0),J56/Summary!$F$5,"")</x:f>
        <x:v>0.15720798616569723</x:v>
      </x:c>
      <x:c r="L56" s="12" t="n">
        <x:f>IF(AND(ISNUMBER(J56),J56&gt;=0,ISNUMBER(D56),D56&gt;=0),J56*D56,"")</x:f>
        <x:v>10</x:v>
      </x:c>
      <x:c r="M56" s="12" t="n">
        <x:f>IF(AND(ISNUMBER(K56),ISNUMBER(D56),D56&gt;=0),K56*D56,"")</x:f>
        <x:v>0.31441597233139446</x:v>
      </x:c>
      <x:c r="N56" s="10" t="str">
        <x:v>Allowance</x:v>
      </x:c>
      <x:c r="O56" s="10" t="str">
        <x:v>vendor_BOM 列52;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57" ht="108" customHeight="1">
      <x:c r="A57" s="10" t="n">
        <x:v>53</x:v>
      </x:c>
      <x:c r="B57" s="10" t="str">
        <x:v>U1</x:v>
      </x:c>
      <x:c r="C57" s="10" t="str">
        <x:v>同步升壓轉換器</x:v>
      </x:c>
      <x:c r="D57" s="10" t="n">
        <x:v>1</x:v>
      </x:c>
      <x:c r="E57" s="10" t="str">
        <x:v>TPS61023</x:v>
      </x:c>
      <x:c r="F57" s="10" t="str">
        <x:v>TPS61023；同步升壓；6-pin SOT-563(DRL)</x:v>
      </x:c>
      <x:c r="G57" s="10" t="str">
        <x:v>系統／電池供電升壓至圖示5V
原理圖第1頁：U1 升壓電源</x:v>
      </x:c>
      <x:c r="H57" s="10" t="str">
        <x:v>待補訂購後綴及周邊值；5V／風扇餘裕未驗證</x:v>
      </x:c>
      <x:c r="I57" s="10" t="str"/>
      <x:c r="J57" s="14" t="n">
        <x:v>52</x:v>
      </x:c>
      <x:c r="K57" s="12" t="n">
        <x:f>IF(AND(ISNUMBER(J57),J57&gt;=0,ISNUMBER(Summary!$F$5),Summary!$F$5&gt;0),J57/Summary!$F$5,"")</x:f>
        <x:v>1.634963056123251</x:v>
      </x:c>
      <x:c r="L57" s="12" t="n">
        <x:f>IF(AND(ISNUMBER(J57),J57&gt;=0,ISNUMBER(D57),D57&gt;=0),J57*D57,"")</x:f>
        <x:v>52</x:v>
      </x:c>
      <x:c r="M57" s="12" t="n">
        <x:f>IF(AND(ISNUMBER(K57),ISNUMBER(D57),D57&gt;=0),K57*D57,"")</x:f>
        <x:v>1.634963056123251</x:v>
      </x:c>
      <x:c r="N57" s="10" t="str">
        <x:v>Proxy</x:v>
      </x:c>
      <x:c r="O57" s="10" t="str">
        <x:v>vendor_BOM 列53; schematic; TI_TPS61023
Search results list TPS61023DRLT cut tape NTD 52. Packaging-suffix proxy for vendor TPS61023; exact order code requires confirmation.
https://www.digikey.tw/en/products/detail/texas-instruments/TPS61023DRLR/11310629</x:v>
      </x:c>
    </x:row>
    <x:row r="58" ht="93" customHeight="1">
      <x:c r="A58" s="10" t="n">
        <x:v>54</x:v>
      </x:c>
      <x:c r="B58" s="10" t="str">
        <x:v>U2</x:v>
      </x:c>
      <x:c r="C58" s="10" t="str">
        <x:v>單節鋰電池充電／電源路徑 IC</x:v>
      </x:c>
      <x:c r="D58" s="10" t="n">
        <x:v>1</x:v>
      </x:c>
      <x:c r="E58" s="10" t="str">
        <x:v>BQ24074</x:v>
      </x:c>
      <x:c r="F58" s="10" t="str">
        <x:v>BQ24074；單節Li-ion/Li-poly、4.2V充電；16-pin VQFN(RGT)</x:v>
      </x:c>
      <x:c r="G58" s="10" t="str">
        <x:v>單節電池充電及系統供電路徑
原理圖第1頁：U2 充電／電源路徑</x:v>
      </x:c>
      <x:c r="H58" s="10" t="str">
        <x:v>待補後綴、R1–R3/R9及電池／散熱配置</x:v>
      </x:c>
      <x:c r="I58" s="10" t="str"/>
      <x:c r="J58" s="14" t="n">
        <x:v>88</x:v>
      </x:c>
      <x:c r="K58" s="12" t="n">
        <x:f>IF(AND(ISNUMBER(J58),J58&gt;=0,ISNUMBER(Summary!$F$5),Summary!$F$5&gt;0),J58/Summary!$F$5,"")</x:f>
        <x:v>2.766860556516271</x:v>
      </x:c>
      <x:c r="L58" s="12" t="n">
        <x:f>IF(AND(ISNUMBER(J58),J58&gt;=0,ISNUMBER(D58),D58&gt;=0),J58*D58,"")</x:f>
        <x:v>88</x:v>
      </x:c>
      <x:c r="M58" s="12" t="n">
        <x:f>IF(AND(ISNUMBER(K58),ISNUMBER(D58),D58&gt;=0),K58*D58,"")</x:f>
        <x:v>2.766860556516271</x:v>
      </x:c>
      <x:c r="N58" s="10" t="str">
        <x:v>Proxy</x:v>
      </x:c>
      <x:c r="O58" s="10" t="str">
        <x:v>vendor_BOM 列54; schematic; TI_BQ24074
NTD 88 each at quantity 1; RGT package assumed from schematic.
https://www.digikey.tw/en/products/detail/texas-instruments/BQ24074RGTR/2047269</x:v>
      </x:c>
    </x:row>
    <x:row r="59" ht="138" customHeight="1">
      <x:c r="A59" s="10" t="n">
        <x:v>55</x:v>
      </x:c>
      <x:c r="B59" s="10" t="str">
        <x:v>U3</x:v>
      </x:c>
      <x:c r="C59" s="10" t="str">
        <x:v>未辨識六腳 IC</x:v>
      </x:c>
      <x:c r="D59" s="10" t="n">
        <x:v>1</x:v>
      </x:c>
      <x:c r="E59" s="10" t="str"/>
      <x:c r="F59" s="10" t="str">
        <x:v>U3僅標P1–P6；型號、腳位功能及封裝未知</x:v>
      </x:c>
      <x:c r="G59" s="10" t="str">
        <x:v>連至升壓EN；確切功能未定
原理圖第1頁：U3 電源控制周邊</x:v>
      </x:c>
      <x:c r="H59" s="10" t="str">
        <x:v>待廠商提供完整型號／功能／封裝及周邊值</x:v>
      </x:c>
      <x:c r="I59" s="10" t="str"/>
      <x:c r="J59" s="14"/>
      <x:c r="K59" s="12" t="str">
        <x:f>IF(AND(ISNUMBER(J59),J59&gt;=0,ISNUMBER(Summary!$F$5),Summary!$F$5&gt;0),J59/Summary!$F$5,"")</x:f>
      </x:c>
      <x:c r="L59" s="12" t="str">
        <x:f>IF(AND(ISNUMBER(J59),J59&gt;=0,ISNUMBER(D59),D59&gt;=0),J59*D59,"")</x:f>
      </x:c>
      <x:c r="M59" s="12" t="str">
        <x:f>IF(AND(ISNUMBER(K59),ISNUMBER(D59),D59&gt;=0),K59*D59,"")</x:f>
      </x:c>
      <x:c r="N59" s="10" t="str">
        <x:v>Unidentified part</x:v>
      </x:c>
      <x:c r="O59" s="10" t="str">
        <x:v>vendor_BOM 列55; schematic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60" ht="93" customHeight="1">
      <x:c r="A60" s="10" t="n">
        <x:v>56</x:v>
      </x:c>
      <x:c r="B60" s="10" t="str">
        <x:v>U4</x:v>
      </x:c>
      <x:c r="C60" s="10" t="str">
        <x:v>Wi-Fi／Bluetooth 微控制器模組</x:v>
      </x:c>
      <x:c r="D60" s="10" t="n">
        <x:v>1</x:v>
      </x:c>
      <x:c r="E60" s="10" t="str">
        <x:v>ESP32-WROOM-32E</x:v>
      </x:c>
      <x:c r="F60" s="10" t="str">
        <x:v>ESP32-WROOM-32E；2.4GHz無線；3.3V系統；板載天線</x:v>
      </x:c>
      <x:c r="G60" s="10" t="str">
        <x:v>LED控制、ADC讀取與Wi-Fi
原理圖第2頁：ESP32；天線區需保留空間</x:v>
      </x:c>
      <x:c r="H60" s="10" t="str">
        <x:v>待定容量後綴；核對天線避讓及實裝高度</x:v>
      </x:c>
      <x:c r="I60" s="10" t="str"/>
      <x:c r="J60" s="14" t="n">
        <x:v>181</x:v>
      </x:c>
      <x:c r="K60" s="12" t="n">
        <x:f>IF(AND(ISNUMBER(J60),J60&gt;=0,ISNUMBER(Summary!$F$5),Summary!$F$5&gt;0),J60/Summary!$F$5,"")</x:f>
        <x:v>5.6909290991982395</x:v>
      </x:c>
      <x:c r="L60" s="12" t="n">
        <x:f>IF(AND(ISNUMBER(J60),J60&gt;=0,ISNUMBER(D60),D60&gt;=0),J60*D60,"")</x:f>
        <x:v>181</x:v>
      </x:c>
      <x:c r="M60" s="12" t="n">
        <x:f>IF(AND(ISNUMBER(K60),ISNUMBER(D60),D60&gt;=0),K60*D60,"")</x:f>
        <x:v>5.6909290991982395</x:v>
      </x:c>
      <x:c r="N60" s="10" t="str">
        <x:v>Proxy</x:v>
      </x:c>
      <x:c r="O60" s="10" t="str">
        <x:v>vendor_BOM 列56; schematic; ESPRESSIF_32E
NTD 181 each. N4 is a price proxy; vendor flash suffix missing.
https://www.digikey.tw/en/products/detail/espressif-systems/ESP32-WROOM-32E-N4/11613125</x:v>
      </x:c>
    </x:row>
    <x:row r="61" ht="138" customHeight="1">
      <x:c r="A61" s="10" t="n">
        <x:v>57</x:v>
      </x:c>
      <x:c r="B61" s="10" t="str">
        <x:v>U5</x:v>
      </x:c>
      <x:c r="C61" s="10" t="str">
        <x:v>3.3 V 數位電源 LDO</x:v>
      </x:c>
      <x:c r="D61" s="10" t="n">
        <x:v>1</x:v>
      </x:c>
      <x:c r="E61" s="10" t="str">
        <x:v>EC50117KBG</x:v>
      </x:c>
      <x:c r="F61" s="10" t="str">
        <x:v>EC50117KBG；固定3.3V LDO；SOT-223</x:v>
      </x:c>
      <x:c r="G61" s="10" t="str">
        <x:v>5V轉3V3_DIG數位電源
原理圖第2頁：3V3 LDO</x:v>
      </x:c>
      <x:c r="H61" s="10" t="str">
        <x:v>核對C17/C18、散熱及實際可用電流</x:v>
      </x:c>
      <x:c r="I61" s="10" t="str"/>
      <x:c r="J61" s="14" t="n">
        <x:v>10</x:v>
      </x:c>
      <x:c r="K61" s="12" t="n">
        <x:f>IF(AND(ISNUMBER(J61),J61&gt;=0,ISNUMBER(Summary!$F$5),Summary!$F$5&gt;0),J61/Summary!$F$5,"")</x:f>
        <x:v>0.31441597233139446</x:v>
      </x:c>
      <x:c r="L61" s="12" t="n">
        <x:f>IF(AND(ISNUMBER(J61),J61&gt;=0,ISNUMBER(D61),D61&gt;=0),J61*D61,"")</x:f>
        <x:v>10</x:v>
      </x:c>
      <x:c r="M61" s="12" t="n">
        <x:f>IF(AND(ISNUMBER(K61),ISNUMBER(D61),D61&gt;=0),K61*D61,"")</x:f>
        <x:v>0.31441597233139446</x:v>
      </x:c>
      <x:c r="N61" s="10" t="str">
        <x:v>Allowance</x:v>
      </x:c>
      <x:c r="O61" s="10" t="str">
        <x:v>vendor_BOM 列57; schematic; ECMOS_EC50117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
</x:v>
      </x:c>
    </x:row>
    <x:row r="62" ht="78" customHeight="1">
      <x:c r="A62" s="10" t="n">
        <x:v>58</x:v>
      </x:c>
      <x:c r="B62" s="10" t="str">
        <x:v>U6</x:v>
      </x:c>
      <x:c r="C62" s="10" t="str">
        <x:v>3.3 V 低雜訊類比電源 LDO</x:v>
      </x:c>
      <x:c r="D62" s="10" t="n">
        <x:v>1</x:v>
      </x:c>
      <x:c r="E62" s="10" t="str">
        <x:v>LP5907MFX-3.3/NOPB</x:v>
      </x:c>
      <x:c r="F62" s="10" t="str">
        <x:v>LP5907MFX-3.3/NOPB；3.3V/250mA LDO；SOT-23-5</x:v>
      </x:c>
      <x:c r="G62" s="10" t="str">
        <x:v>5V轉3V3_ANA類比電源
原理圖第2頁：3V3 LDO</x:v>
      </x:c>
      <x:c r="H62" s="10" t="str">
        <x:v>核對C19/C20有效容值、穩定性及熱負載</x:v>
      </x:c>
      <x:c r="I62" s="10" t="str"/>
      <x:c r="J62" s="14" t="n">
        <x:v>24</x:v>
      </x:c>
      <x:c r="K62" s="12" t="n">
        <x:f>IF(AND(ISNUMBER(J62),J62&gt;=0,ISNUMBER(Summary!$F$5),Summary!$F$5&gt;0),J62/Summary!$F$5,"")</x:f>
        <x:v>0.7545983335953467</x:v>
      </x:c>
      <x:c r="L62" s="12" t="n">
        <x:f>IF(AND(ISNUMBER(J62),J62&gt;=0,ISNUMBER(D62),D62&gt;=0),J62*D62,"")</x:f>
        <x:v>24</x:v>
      </x:c>
      <x:c r="M62" s="12" t="n">
        <x:f>IF(AND(ISNUMBER(K62),ISNUMBER(D62),D62&gt;=0),K62*D62,"")</x:f>
        <x:v>0.7545983335953467</x:v>
      </x:c>
      <x:c r="N62" s="10" t="str">
        <x:v>Listed</x:v>
      </x:c>
      <x:c r="O62" s="10" t="str">
        <x:v>vendor_BOM 列58; schematic; TI_LP5907
NTD 24 each at quantity 1.
https://www.digikey.tw/en/products/detail/texas-instruments/LP5907MFX-3-3-NOPB/3906441</x:v>
      </x:c>
    </x:row>
    <x:row r="63" ht="93" customHeight="1">
      <x:c r="A63" s="10" t="n">
        <x:v>59</x:v>
      </x:c>
      <x:c r="B63" s="10" t="str">
        <x:v>U7</x:v>
      </x:c>
      <x:c r="C63" s="10" t="str">
        <x:v>2.5 V 精密電壓參考</x:v>
      </x:c>
      <x:c r="D63" s="10" t="n">
        <x:v>1</x:v>
      </x:c>
      <x:c r="E63" s="10" t="str">
        <x:v>LTC6655BHMS8-2.5#PBF</x:v>
      </x:c>
      <x:c r="F63" s="10" t="str">
        <x:v>LTC6655BHMS8-2.5#PBF；2.5V參考；MSOP-8</x:v>
      </x:c>
      <x:c r="G63" s="10" t="str">
        <x:v>提供ADC的2.5V參考
原理圖第2頁：2V5_REF</x:v>
      </x:c>
      <x:c r="H63" s="10" t="str">
        <x:v>核對C22/C23、佈線及實測參考電壓</x:v>
      </x:c>
      <x:c r="I63" s="10" t="str"/>
      <x:c r="J63" s="14" t="n">
        <x:v>628</x:v>
      </x:c>
      <x:c r="K63" s="12" t="n">
        <x:f>IF(AND(ISNUMBER(J63),J63&gt;=0,ISNUMBER(Summary!$F$5),Summary!$F$5&gt;0),J63/Summary!$F$5,"")</x:f>
        <x:v>19.745323062411572</x:v>
      </x:c>
      <x:c r="L63" s="12" t="n">
        <x:f>IF(AND(ISNUMBER(J63),J63&gt;=0,ISNUMBER(D63),D63&gt;=0),J63*D63,"")</x:f>
        <x:v>628</x:v>
      </x:c>
      <x:c r="M63" s="12" t="n">
        <x:f>IF(AND(ISNUMBER(K63),ISNUMBER(D63),D63&gt;=0),K63*D63,"")</x:f>
        <x:v>19.745323062411572</x:v>
      </x:c>
      <x:c r="N63" s="10" t="str">
        <x:v>Proxy</x:v>
      </x:c>
      <x:c r="O63" s="10" t="str">
        <x:v>vendor_BOM 列59; schematic; ADI_LTC6655
NTD 628 for cut tape. Packaging proxy for #PBF; listed no stock.
https://www.digikey.tw/en/products/detail/analog-devices-inc/LTC6655BHMS8-2-5-TRPBF/2181717</x:v>
      </x:c>
    </x:row>
    <x:row r="64" ht="93" customHeight="1">
      <x:c r="A64" s="10" t="n">
        <x:v>60</x:v>
      </x:c>
      <x:c r="B64" s="10" t="str">
        <x:v>U8</x:v>
      </x:c>
      <x:c r="C64" s="10" t="str">
        <x:v>低輸入偏置電流運算放大器</x:v>
      </x:c>
      <x:c r="D64" s="10" t="n">
        <x:v>1</x:v>
      </x:c>
      <x:c r="E64" s="10" t="str">
        <x:v>LMP7721</x:v>
      </x:c>
      <x:c r="F64" s="10" t="str">
        <x:v>LMP7721；低偏置運放；SOIC-8；1.8–5.5V</x:v>
      </x:c>
      <x:c r="G64" s="10" t="str">
        <x:v>PD光電流轉電壓
原理圖第2頁：TIA</x:v>
      </x:c>
      <x:c r="H64" s="10" t="str">
        <x:v>待補訂購後綴；核對漏電／穩定性及輸出範圍</x:v>
      </x:c>
      <x:c r="I64" s="10" t="str"/>
      <x:c r="J64" s="14" t="n">
        <x:v>226</x:v>
      </x:c>
      <x:c r="K64" s="12" t="n">
        <x:f>IF(AND(ISNUMBER(J64),J64&gt;=0,ISNUMBER(Summary!$F$5),Summary!$F$5&gt;0),J64/Summary!$F$5,"")</x:f>
        <x:v>7.105800974689514</x:v>
      </x:c>
      <x:c r="L64" s="12" t="n">
        <x:f>IF(AND(ISNUMBER(J64),J64&gt;=0,ISNUMBER(D64),D64&gt;=0),J64*D64,"")</x:f>
        <x:v>226</x:v>
      </x:c>
      <x:c r="M64" s="12" t="n">
        <x:f>IF(AND(ISNUMBER(K64),ISNUMBER(D64),D64&gt;=0),K64*D64,"")</x:f>
        <x:v>7.105800974689514</x:v>
      </x:c>
      <x:c r="N64" s="10" t="str">
        <x:v>Proxy</x:v>
      </x:c>
      <x:c r="O64" s="10" t="str">
        <x:v>vendor_BOM 列60; schematic; TI_LMP7721
Search listing NTD 226 for MAX/NOPB. Vendor LMP7721 suffix missing; package proxy.
https://www.digikey.tw/en/products/filter/linear/amplifiers/instrumentation-op-amps-buffer-amps/687</x:v>
      </x:c>
    </x:row>
    <x:row r="65" ht="78" customHeight="1">
      <x:c r="A65" s="10" t="n">
        <x:v>61</x:v>
      </x:c>
      <x:c r="B65" s="10" t="str">
        <x:v>U9</x:v>
      </x:c>
      <x:c r="C65" s="10" t="str">
        <x:v>16-bit SAR 類比數位轉換器</x:v>
      </x:c>
      <x:c r="D65" s="10" t="n">
        <x:v>1</x:v>
      </x:c>
      <x:c r="E65" s="10" t="str">
        <x:v>ADS8866IDGS</x:v>
      </x:c>
      <x:c r="F65" s="10" t="str">
        <x:v>ADS8866IDGS；16-bit SAR、100kSPS器件上限；VSSOP-10</x:v>
      </x:c>
      <x:c r="G65" s="10" t="str">
        <x:v>取樣TIA電壓並送ESP32
原理圖第2頁：ADC</x:v>
      </x:c>
      <x:c r="H65" s="10" t="str">
        <x:v>核對取樣時序、輸入建立、去耦與實測雜訊</x:v>
      </x:c>
      <x:c r="I65" s="10" t="str"/>
      <x:c r="J65" s="14" t="n">
        <x:v>306</x:v>
      </x:c>
      <x:c r="K65" s="12" t="n">
        <x:f>IF(AND(ISNUMBER(J65),J65&gt;=0,ISNUMBER(Summary!$F$5),Summary!$F$5&gt;0),J65/Summary!$F$5,"")</x:f>
        <x:v>9.62112875334067</x:v>
      </x:c>
      <x:c r="L65" s="12" t="n">
        <x:f>IF(AND(ISNUMBER(J65),J65&gt;=0,ISNUMBER(D65),D65&gt;=0),J65*D65,"")</x:f>
        <x:v>306</x:v>
      </x:c>
      <x:c r="M65" s="12" t="n">
        <x:f>IF(AND(ISNUMBER(K65),ISNUMBER(D65),D65&gt;=0),K65*D65,"")</x:f>
        <x:v>9.62112875334067</x:v>
      </x:c>
      <x:c r="N65" s="10" t="str">
        <x:v>Listed</x:v>
      </x:c>
      <x:c r="O65" s="10" t="str">
        <x:v>vendor_BOM 列61; schematic; TI_ADS8866
NTD 306 each at quantity 1.
https://www.digikey.tw/zh/products/detail/texas-instruments/ADS8866IDGS/5176196</x:v>
      </x:c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</x:row>
    <x:row r="68" ht="28" customHeight="1">
      <x:c r="A68" s="2"/>
      <x:c r="B68" s="2"/>
      <x:c r="C68" s="2"/>
      <x:c r="D68" s="2"/>
      <x:c r="E68" s="2"/>
      <x:c r="F68" s="2"/>
      <x:c r="G68" s="2" t="str">
        <x:v>已列材料小計，缺 U3；不含製板組裝。</x:v>
      </x:c>
      <x:c r="H68" s="2"/>
      <x:c r="I68" s="2"/>
      <x:c r="J68" s="2"/>
      <x:c r="K68" s="2"/>
      <x:c r="L68" s="13" t="n">
        <x:f>SUM(L5:L65)</x:f>
        <x:v>1954</x:v>
      </x:c>
      <x:c r="M68" s="13" t="n">
        <x:f>SUM(M5:M65)</x:f>
        <x:v>61.436880993554496</x:v>
      </x:c>
      <x:c r="N68" s="2"/>
      <x:c r="O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5" hidden="0" customWidth="1"/>
    <x:col min="5" max="5" width="17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9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三批列印成本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8" customHeight="1">
      <x:c r="A3" s="4" t="str">
        <x:v>按原 cost.md 公式重算；不重複收取樹脂費。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48" customHeight="1">
      <x:c r="A4" s="8" t="str">
        <x:v>批次</x:v>
      </x:c>
      <x:c r="B4" s="8" t="str">
        <x:v>包含件號</x:v>
      </x:c>
      <x:c r="C4" s="8" t="str">
        <x:v>min</x:v>
      </x:c>
      <x:c r="D4" s="8" t="str">
        <x:v>h</x:v>
      </x:c>
      <x:c r="E4" s="8" t="str">
        <x:v>mL</x:v>
      </x:c>
      <x:c r="F4" s="8" t="str">
        <x:v>g</x:v>
      </x:c>
      <x:c r="G4" s="8" t="str">
        <x:v>原樹脂 NTD</x:v>
      </x:c>
      <x:c r="H4" s="8" t="str">
        <x:v>樹脂項 NTD</x:v>
      </x:c>
      <x:c r="I4" s="8" t="str">
        <x:v>時間項 NTD</x:v>
      </x:c>
      <x:c r="J4" s="8" t="str">
        <x:v>固定項 NTD</x:v>
      </x:c>
      <x:c r="K4" s="8" t="str">
        <x:v>總額 NTD</x:v>
      </x:c>
      <x:c r="L4" s="8" t="str">
        <x:v>總額 USD</x:v>
      </x:c>
    </x:row>
    <x:row r="5" ht="42" customHeight="1">
      <x:c r="A5" s="10" t="str">
        <x:v>P1</x:v>
      </x:c>
      <x:c r="B5" s="10" t="str">
        <x:v>01</x:v>
      </x:c>
      <x:c r="C5" s="10" t="n">
        <x:v>1055</x:v>
      </x:c>
      <x:c r="D5" s="10" t="n">
        <x:f>IF(AND(ISNUMBER(C5),C5&gt;=0),C5/60,"")</x:f>
        <x:v>17.583333333333332</x:v>
      </x:c>
      <x:c r="E5" s="10" t="n">
        <x:v>107.531</x:v>
      </x:c>
      <x:c r="F5" s="10" t="n">
        <x:v>118.285</x:v>
      </x:c>
      <x:c r="G5" s="12" t="n">
        <x:v>260.226</x:v>
      </x:c>
      <x:c r="H5" s="12" t="n">
        <x:f>IF(AND(ISNUMBER(G5),G5&gt;=0,ISNUMBER($B$14),$B$14&gt;=0),G5*$B$14,"")</x:f>
        <x:v>286.2486</x:v>
      </x:c>
      <x:c r="I5" s="12" t="n">
        <x:f>IF(AND(ISNUMBER(D5),ISNUMBER($B$15),$B$15&gt;=0),D5*$B$15,"")</x:f>
        <x:v>126.51208333333334</x:v>
      </x:c>
      <x:c r="J5" s="12" t="n">
        <x:f>IF(AND(ISNUMBER($B$13),$B$13&gt;=0),$B$13,"")</x:f>
        <x:v>25</x:v>
      </x:c>
      <x:c r="K5" s="12" t="n">
        <x:f>IF(AND(COUNT(H5:J5)=3,ISNUMBER($B$12),$B$12&gt;=0),$B$12*SUM(H5:J5),"")</x:f>
        <x:v>525.31282</x:v>
      </x:c>
      <x:c r="L5" s="12" t="n">
        <x:f>IF(AND(ISNUMBER(K5),ISNUMBER(Summary!$F$5),Summary!$F$5&gt;0),K5/Summary!$F$5,"")</x:f>
        <x:v>16.51667410784468</x:v>
      </x:c>
    </x:row>
    <x:row r="6" ht="42" customHeight="1">
      <x:c r="A6" s="10" t="str">
        <x:v>P2</x:v>
      </x:c>
      <x:c r="B6" s="10" t="str">
        <x:v>02 + 03 + 08</x:v>
      </x:c>
      <x:c r="C6" s="10" t="n">
        <x:v>979</x:v>
      </x:c>
      <x:c r="D6" s="10" t="n">
        <x:f>IF(AND(ISNUMBER(C6),C6&gt;=0),C6/60,"")</x:f>
        <x:v>16.316666666666666</x:v>
      </x:c>
      <x:c r="E6" s="10" t="n">
        <x:v>114.027</x:v>
      </x:c>
      <x:c r="F6" s="10" t="n">
        <x:v>125.43</x:v>
      </x:c>
      <x:c r="G6" s="12" t="n">
        <x:v>275.945</x:v>
      </x:c>
      <x:c r="H6" s="12" t="n">
        <x:f>IF(AND(ISNUMBER(G6),G6&gt;=0,ISNUMBER($B$14),$B$14&gt;=0),G6*$B$14,"")</x:f>
        <x:v>303.53950000000003</x:v>
      </x:c>
      <x:c r="I6" s="12" t="n">
        <x:f>IF(AND(ISNUMBER(D6),ISNUMBER($B$15),$B$15&gt;=0),D6*$B$15,"")</x:f>
        <x:v>117.39841666666668</x:v>
      </x:c>
      <x:c r="J6" s="12" t="n">
        <x:f>IF(AND(ISNUMBER($B$13),$B$13&gt;=0),$B$13,"")</x:f>
        <x:v>25</x:v>
      </x:c>
      <x:c r="K6" s="12" t="n">
        <x:f>IF(AND(COUNT(H6:J6)=3,ISNUMBER($B$12),$B$12&gt;=0),$B$12*SUM(H6:J6),"")</x:f>
        <x:v>535.1255</x:v>
      </x:c>
      <x:c r="L6" s="12" t="n">
        <x:f>IF(AND(ISNUMBER(K6),ISNUMBER(Summary!$F$5),Summary!$F$5&gt;0),K6/Summary!$F$5,"")</x:f>
        <x:v>16.82520044018236</x:v>
      </x:c>
    </x:row>
    <x:row r="7" ht="42" customHeight="1">
      <x:c r="A7" s="10" t="str">
        <x:v>P3</x:v>
      </x:c>
      <x:c r="B7" s="10" t="str">
        <x:v>04 + 05 + 06 + 07</x:v>
      </x:c>
      <x:c r="C7" s="10" t="n">
        <x:v>162</x:v>
      </x:c>
      <x:c r="D7" s="10" t="n">
        <x:f>IF(AND(ISNUMBER(C7),C7&gt;=0),C7/60,"")</x:f>
        <x:v>2.7</x:v>
      </x:c>
      <x:c r="E7" s="10" t="n">
        <x:v>1.198</x:v>
      </x:c>
      <x:c r="F7" s="10" t="n">
        <x:v>1.318</x:v>
      </x:c>
      <x:c r="G7" s="12" t="n">
        <x:v>1.239</x:v>
      </x:c>
      <x:c r="H7" s="12" t="n">
        <x:f>IF(AND(ISNUMBER(G7),G7&gt;=0,ISNUMBER($B$14),$B$14&gt;=0),G7*$B$14,"")</x:f>
        <x:v>1.3629000000000002</x:v>
      </x:c>
      <x:c r="I7" s="12" t="n">
        <x:f>IF(AND(ISNUMBER(D7),ISNUMBER($B$15),$B$15&gt;=0),D7*$B$15,"")</x:f>
        <x:v>19.4265</x:v>
      </x:c>
      <x:c r="J7" s="12" t="n">
        <x:f>IF(AND(ISNUMBER($B$13),$B$13&gt;=0),$B$13,"")</x:f>
        <x:v>25</x:v>
      </x:c>
      <x:c r="K7" s="12" t="n">
        <x:f>IF(AND(COUNT(H7:J7)=3,ISNUMBER($B$12),$B$12&gt;=0),$B$12*SUM(H7:J7),"")</x:f>
        <x:v>54.94728</x:v>
      </x:c>
      <x:c r="L7" s="12" t="n">
        <x:f>IF(AND(ISNUMBER(K7),ISNUMBER(Summary!$F$5),Summary!$F$5&gt;0),K7/Summary!$F$5,"")</x:f>
        <x:v>1.7276302468165383</x:v>
      </x:c>
    </x:row>
    <x:row r="8" ht="28" customHeight="1">
      <x:c r="A8" s="2" t="str">
        <x:v>合計</x:v>
      </x:c>
      <x:c r="B8" s="2"/>
      <x:c r="C8" s="2" t="n">
        <x:f>IF(COUNT(C5:C7)=3,SUM(C5:C7),"")</x:f>
        <x:v>2196</x:v>
      </x:c>
      <x:c r="D8" s="2" t="n">
        <x:f>IF(COUNT(D5:D7)=3,SUM(D5:D7),"")</x:f>
        <x:v>36.6</x:v>
      </x:c>
      <x:c r="E8" s="2" t="n">
        <x:f>IF(COUNT(E5:E7)=3,SUM(E5:E7),"")</x:f>
        <x:v>222.756</x:v>
      </x:c>
      <x:c r="F8" s="2" t="n">
        <x:f>IF(COUNT(F5:F7)=3,SUM(F5:F7),"")</x:f>
        <x:v>245.03300000000002</x:v>
      </x:c>
      <x:c r="G8" s="13" t="n">
        <x:f>IF(COUNT(G5:G7)=3,SUM(G5:G7),"")</x:f>
        <x:v>537.4100000000001</x:v>
      </x:c>
      <x:c r="H8" s="13" t="n">
        <x:f>IF(COUNT(H5:H7)=3,SUM(H5:H7),"")</x:f>
        <x:v>591.151</x:v>
      </x:c>
      <x:c r="I8" s="13" t="n">
        <x:f>IF(COUNT(I5:I7)=3,SUM(I5:I7),"")</x:f>
        <x:v>263.337</x:v>
      </x:c>
      <x:c r="J8" s="13" t="n">
        <x:f>IF(COUNT(J5:J7)=3,SUM(J5:J7),"")</x:f>
        <x:v>75</x:v>
      </x:c>
      <x:c r="K8" s="13" t="n">
        <x:f>IF(COUNT(K5:K7)=3,SUM(K5:K7),"")</x:f>
        <x:v>1115.3856</x:v>
      </x:c>
      <x:c r="L8" s="13" t="n">
        <x:f>IF(COUNT(L5:L7)=3,SUM(L5:L7),"")</x:f>
        <x:v>35.069504794843574</x:v>
      </x:c>
    </x:row>
    <x:row r="9" ht="28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8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8" customHeight="1">
      <x:c r="A11" s="2" t="str">
        <x:v>係數</x:v>
      </x:c>
      <x:c r="B11" s="2" t="str">
        <x:v>數值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8" customHeight="1">
      <x:c r="A12" s="2" t="str">
        <x:v>Outer</x:v>
      </x:c>
      <x:c r="B12" s="9" t="n">
        <x:v>1.2</x:v>
      </x:c>
      <x:c r="C12" s="2"/>
      <x:c r="D12" s="2" t="str">
        <x:v>1.2 × (25 + source resin × 1.1 + minutes/60 × 7.195)</x:v>
      </x:c>
      <x:c r="E12" s="2"/>
      <x:c r="F12" s="2"/>
      <x:c r="G12" s="2"/>
      <x:c r="H12" s="2"/>
      <x:c r="I12" s="2"/>
      <x:c r="J12" s="2"/>
      <x:c r="K12" s="2"/>
      <x:c r="L12" s="2"/>
    </x:row>
    <x:row r="13" ht="28" customHeight="1">
      <x:c r="A13" s="2" t="str">
        <x:v>Fixed NTD</x:v>
      </x:c>
      <x:c r="B13" s="9" t="n">
        <x:v>25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8" customHeight="1">
      <x:c r="A14" s="2" t="str">
        <x:v>Resin multiplier</x:v>
      </x:c>
      <x:c r="B14" s="9" t="n">
        <x:v>1.1</x:v>
      </x:c>
      <x:c r="C14" s="2"/>
      <x:c r="D14" s="2" t="str">
        <x:v>P2 與 P3 合印，不虛構個別零件單價。原始成本及差異已保存於 Notes。</x:v>
      </x:c>
      <x:c r="E14" s="2"/>
      <x:c r="F14" s="2"/>
      <x:c r="G14" s="2"/>
      <x:c r="H14" s="2"/>
      <x:c r="I14" s="2"/>
      <x:c r="J14" s="2"/>
      <x:c r="K14" s="2"/>
      <x:c r="L14" s="2"/>
    </x:row>
    <x:row r="15" ht="28" customHeight="1">
      <x:c r="A15" s="2" t="str">
        <x:v>Time NTD/h</x:v>
      </x:c>
      <x:c r="B15" s="9" t="n">
        <x:v>7.195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8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8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8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8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8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8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8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8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8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8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8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8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8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8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8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8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8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8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8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8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8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8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8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8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8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8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8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8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8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8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8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8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8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8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8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8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8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8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8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8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8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8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8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8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8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8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8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8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8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8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8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8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8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8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8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8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B8991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105" hidden="0" customWidth="1"/>
    <x:col min="3" max="3" width="90" hidden="0" customWidth="1"/>
  </x:cols>
  <x:sheetData>
    <x:row r="1">
      <x:c r="A1" s="18"/>
      <x:c r="B1" s="18"/>
      <x:c r="C1" s="18"/>
    </x:row>
    <x:row r="2" ht="34" customHeight="1">
      <x:c r="A2" s="19" t="str">
        <x:v>說明與來源</x:v>
      </x:c>
      <x:c r="B2" s="18" t="str">
        <x:v>2026-10-11 整併。原有預算輸入與公式保留。</x:v>
      </x:c>
      <x:c r="C2" s="18"/>
    </x:row>
    <x:row r="3">
      <x:c r="A3" s="18"/>
      <x:c r="B3" s="18"/>
      <x:c r="C3" s="18"/>
    </x:row>
    <x:row r="4" ht="30" customHeight="1">
      <x:c r="A4" s="22" t="str">
        <x:v>主題／識別</x:v>
      </x:c>
      <x:c r="B4" s="22" t="str">
        <x:v>說明／保留的來源明細</x:v>
      </x:c>
      <x:c r="C4" s="22" t="str">
        <x:v>來源／備查</x:v>
      </x:c>
    </x:row>
    <x:row r="5" ht="30" customHeight="1">
      <x:c r="A5" s="25" t="str">
        <x:v>工作簿使用說明</x:v>
      </x:c>
      <x:c r="B5" s="25" t="str"/>
      <x:c r="C5" s="25" t="str"/>
    </x:row>
    <x:row r="6" ht="28" customHeight="1">
      <x:c r="A6" s="18" t="str">
        <x:v>完整 BOM</x:v>
      </x:c>
      <x:c r="B6" s="18" t="str">
        <x:v>原有五張工作表包含 8 個列印件、26 列採購項、61 列 PCB 及 3 個列印批次。Summary 保留可重算的預算公式。</x:v>
      </x:c>
      <x:c r="C6" s="18" t="str"/>
    </x:row>
    <x:row r="7" ht="28" customHeight="1">
      <x:c r="A7" s="18" t="str">
        <x:v>幣別與更新</x:v>
      </x:c>
      <x:c r="B7" s="18" t="str">
        <x:v>中文工作簿維持 NTD 與 USD。價格來源保留原幣別。Summary 的匯率輸入控制現有換算公式。</x:v>
      </x:c>
      <x:c r="C7" s="18" t="str"/>
    </x:row>
    <x:row r="8" ht="40" customHeight="1">
      <x:c r="A8" s="18" t="str">
        <x:v>預算說明 1</x:v>
      </x:c>
      <x:c r="B8" s="18" t="str">
        <x:v>2026-10-08。工作簿同時列出 NTD 與 USD。分類改為「必要、開發者購買、未來展望」，並保留 STL、PCB、外購材料三種明細。價格來源、實際用途與待確認規格分開列。</x:v>
      </x:c>
      <x:c r="C8" s="18" t="str">
        <x:v>原預算讀法；來源價格日期為 2026-10-08。</x:v>
      </x:c>
    </x:row>
    <x:row r="9" ht="40" customHeight="1">
      <x:c r="A9" s="18" t="str">
        <x:v>預算說明 2</x:v>
      </x:c>
      <x:c r="B9" s="18" t="str">
        <x:v>必要：八件列印件、PCB 及 13 列外購裝配材料。開發者購買：10 列機外燒錄、量測、給氣與工具；可以借用，但給氣與流量確認能力仍是實驗必要條件。未來展望：PDMS 膜、氣閥驅動、環境感測共三列，不加進當前機器預算。</x:v>
      </x:c>
      <x:c r="C9" s="18" t="str">
        <x:v>原預算讀法；來源價格日期為 2026-10-08。</x:v>
      </x:c>
    </x:row>
    <x:row r="10" ht="54" customHeight="1">
      <x:c r="A10" s="18" t="str">
        <x:v>預算說明 3</x:v>
      </x:c>
      <x:c r="B10" s="18" t="str">
        <x:v> 上述是預算，不是已確認可下單總價。 單機包含 NTD 12,000 客製薄型螢光濾片預留；參考的 Edmund 67-016 價格 USD 284，但其 12.5 mm 外徑與約 2 mm 厚度均不符合現有 5.2 × 4.2 × 1.0 mm 濾片座。不能直接購買並假設可裝，也不能只裁切外形就解決厚度問題。尚需尺寸、角度光譜與加工報價。</x:v>
      </x:c>
      <x:c r="C10" s="18" t="str">
        <x:v>原預算讀法；來源價格日期為 2026-10-08。</x:v>
      </x:c>
    </x:row>
    <x:row r="11" ht="40" customHeight="1">
      <x:c r="A11" s="18" t="str">
        <x:v>預算說明 4</x:v>
      </x:c>
      <x:c r="B11" s="18" t="str">
        <x:v>四組光學報告另比較 Edmund #29-190、500 nm 超薄 OD4 候選，與舊預算參考 #67-016 不同。情境光譜及 12.45 mm 圓片尺寸不代表已能裝入現有濾片座。選定濾片與固定座並取得確認報價前，仍保留原客製濾片預算。</x:v>
      </x:c>
      <x:c r="C11" s="18" t="str">
        <x:v>原預算讀法；來源價格日期為 2026-10-08。</x:v>
      </x:c>
    </x:row>
    <x:row r="12" ht="40" customHeight="1">
      <x:c r="A12" s="18" t="str">
        <x:v>預算說明 5</x:v>
      </x:c>
      <x:c r="B12" s="18" t="str">
        <x:v>Listed＝可查到商品價；Proxy＝類似品或包裝差異的參考；Allowance／Custom allowance＝工程預留額。沒有公開且相符的價格時，不把預留額寫成已查核市價。螺絲長度、M3 標準螺帽及墊片規格不因價格參考品而更換。</x:v>
      </x:c>
      <x:c r="C12" s="18" t="str">
        <x:v>原預算讀法；來源價格日期為 2026-10-08。</x:v>
      </x:c>
    </x:row>
    <x:row r="13" ht="54" customHeight="1">
      <x:c r="A13" s="18" t="str">
        <x:v>預算說明 6</x:v>
      </x:c>
      <x:c r="B13" s="18" t="str">
        <x:v>濾器參考品為 Gilson ANP1322，USD 95／100 個；兩個用量換算 NTD 60.43，但買一盒是 NTD 3,021.48。它是 0.22 µm、非無菌疏水 PTFE 參考品，不代表已符合原設計 0.2 µm 氣體濾器要求。細胞用途、接頭、壓降與 VOC 回收仍需確認。</x:v>
      </x:c>
      <x:c r="C13" s="18" t="str">
        <x:v>原預算讀法；來源價格日期為 2026-10-08。</x:v>
      </x:c>
    </x:row>
    <x:row r="14" ht="40" customHeight="1">
      <x:c r="A14" s="18" t="str">
        <x:v>預算說明 7</x:v>
      </x:c>
      <x:c r="B14" s="18" t="str">
        <x:v>已持有量 K 欄預設 0。填入已買或可借數量，需購包數 P 與新購額 Q/R 會重算；用量成本 N/O 不會因此歸零。預留額不是採購授權，也不代表必須購買新的實驗室儀器。</x:v>
      </x:c>
      <x:c r="C14" s="18" t="str">
        <x:v>原預算讀法；來源價格日期為 2026-10-08。</x:v>
      </x:c>
    </x:row>
    <x:row r="15" ht="54" customHeight="1">
      <x:c r="A15" s="18" t="str">
        <x:v>預算說明 8</x:v>
      </x:c>
      <x:c r="B15" s="18" t="str">
        <x:v>PCB 保留 61 列原始位號、數量與數值。已列零件材料估價為 NTD 1,954.00；U3 身分未知，留白。許多被動元件尚缺值或封裝，僅列通用預算，不能據此採購。FD 光學點與 H 固定孔為製板特徵，材料单價 0 不是漏列。PCB 零件估價不另加到 NT$131,250／2 片的含設計與開機報價。</x:v>
      </x:c>
      <x:c r="C15" s="18" t="str">
        <x:v>原預算讀法；來源價格日期為 2026-10-08。</x:v>
      </x:c>
    </x:row>
    <x:row r="16" ht="40" customHeight="1">
      <x:c r="A16" s="18" t="str">
        <x:v>預算說明 9</x:v>
      </x:c>
      <x:c r="B16" s="18" t="str">
        <x:v>列印維持 1.2 × (25 + 原樹脂小計 × 1.1 + 分鐘/60 × 7.195)。三批分別 525.31282、535.12550、54.94728 NTD；全精度相加 1115.38560。合印批次不假造單件價格。原始列印筆記已保存於下方。</x:v>
      </x:c>
      <x:c r="C16" s="18" t="str">
        <x:v>原預算讀法；來源價格日期為 2026-10-08。</x:v>
      </x:c>
    </x:row>
    <x:row r="17" ht="40" customHeight="1">
      <x:c r="A17" s="18" t="str">
        <x:v>預算說明 10</x:v>
      </x:c>
      <x:c r="B17" s="18" t="str">
        <x:v>匯率採臺灣銀行頁面顯示的 2026-10-05 15:13 美元即期賣出 31.805 NTD/USD；2026-10-08 查閱。這是比較用快照，不是 10 月 8 日成交匯率。USD 價來源保持 USD 輸入，NTD 價保持 NTD 輸入，改匯率會正確換算兩者。</x:v>
      </x:c>
      <x:c r="C17" s="18" t="str">
        <x:v>原預算讀法；來源價格日期為 2026-10-08。</x:v>
      </x:c>
    </x:row>
    <x:row r="18" ht="40" customHeight="1">
      <x:c r="A18" s="18" t="str">
        <x:v>預算說明 11</x:v>
      </x:c>
      <x:c r="B18" s="18" t="str">
        <x:v>未含運費、額外稅金、未列人工、失敗重印、細胞培養耗材及既有印表機、後固化機、手機、電腦、培養設施的重購成本。</x:v>
      </x:c>
      <x:c r="C18" s="18" t="str">
        <x:v>原預算讀法；來源價格日期為 2026-10-08。</x:v>
      </x:c>
    </x:row>
    <x:row r="19" ht="30" customHeight="1">
      <x:c r="A19" s="25" t="str">
        <x:v>原始列印成本紀錄</x:v>
      </x:c>
      <x:c r="B19" s="25" t="str"/>
      <x:c r="C19" s="25" t="str"/>
    </x:row>
    <x:row r="20" ht="28" customHeight="1">
      <x:c r="A20" s="18" t="str">
        <x:v>印表機與切片批次</x:v>
      </x:c>
      <x:c r="B20" s="18" t="str">
        <x:v>Phrozen Sonic Mighty Revo 16K. P1: 01_base_BLACK.ctb; P2: 020308_parts.ctb; P3: 0407_wells.ctb.</x:v>
      </x:c>
      <x:c r="C20" s="18" t="str">
        <x:v>原始切片／成本輸入。CTB 檔案內容不變。</x:v>
      </x:c>
    </x:row>
    <x:row r="21" ht="28" customHeight="1">
      <x:c r="A21" s="18" t="str">
        <x:v>原始公式</x:v>
      </x:c>
      <x:c r="B21" s="18" t="str">
        <x:v>NTD = 1.2 × (25 + original resin subtotal × 1.1 + estimated printing hours × 7.195).</x:v>
      </x:c>
      <x:c r="C21" s="18" t="str">
        <x:v>NTD 原始公式。成本已包含原公式的機器項，不另加一瓶樹脂或機器重購成本。</x:v>
      </x:c>
    </x:row>
    <x:row r="22" ht="96" customHeight="1">
      <x:c r="A22" s="18" t="str">
        <x:v>P1: 01</x:v>
      </x:c>
      <x:c r="B22" s="18" t="str">
        <x:v>Material: PC/GF-like Black
Time: 17 h 35 min (1055 min)
Resin volume: 107.531 mL; mass: 118.285 g
Original resin quotation: NTD 260.226
Original reported total: NTD 525.313
Recomputed source-formula total: NTD 525.31282</x:v>
      </x:c>
      <x:c r="C22" s="18" t="str">
        <x:v>原始報價備查；採用 Print_batches 的完整精度公式結果。</x:v>
      </x:c>
    </x:row>
    <x:row r="23" ht="96" customHeight="1">
      <x:c r="A23" s="18" t="str">
        <x:v>P2: 02 + 03 + 08</x:v>
      </x:c>
      <x:c r="B23" s="18" t="str">
        <x:v>Material: PC/GF-like Black
Time: 16 h 19 min (979 min)
Resin volume: 114.027 mL; mass: 125.43 g
Original resin quotation: NTD 275.945
Original reported total: NTD 535.126
Recomputed source-formula total: NTD 535.1255</x:v>
      </x:c>
      <x:c r="C23" s="18" t="str">
        <x:v>原始報價備查；採用 Print_batches 的完整精度公式結果。</x:v>
      </x:c>
    </x:row>
    <x:row r="24" ht="96" customHeight="1">
      <x:c r="A24" s="18" t="str">
        <x:v>P3: 04 + 05 + 06 + 07</x:v>
      </x:c>
      <x:c r="B24" s="18" t="str">
        <x:v>Material: Aqua Clear Plus
Time: 2 h 42 min (162 min)
Resin volume: 1.198 mL; mass: 1.318 g
Original resin quotation: NTD 1.239
Original reported total: NTD 52.215
Recomputed source-formula total: NTD 54.94728</x:v>
      </x:c>
      <x:c r="C24" s="18" t="str">
        <x:v>原始報價備查；採用 Print_batches 的完整精度公式結果。</x:v>
      </x:c>
    </x:row>
    <x:row r="25" ht="40" customHeight="1">
      <x:c r="A25" s="18" t="str">
        <x:v>P3 原報差異</x:v>
      </x:c>
      <x:c r="B25" s="18" t="str">
        <x:v>透明井批次原報 NTD 52.215；原輸入與公式算得 NTD 54.94728。預算使用公式結果。P1/P2 的原報差異屬四捨五入。</x:v>
      </x:c>
      <x:c r="C25" s="18" t="str"/>
    </x:row>
    <x:row r="26" ht="40" customHeight="1">
      <x:c r="A26" s="18" t="str">
        <x:v>精度與來源識別</x:v>
      </x:c>
      <x:c r="B26" s="18" t="str">
        <x:v>三批完整精度相加後才顯示兩位小數。合印批次不假造個別零件價格。</x:v>
      </x:c>
      <x:c r="C26" s="18" t="str">
        <x:v>Original print-cost record SHA256: 174599bf359f0186bfe581aab6033953525edf30911b7083e27cb033251b24dd</x:v>
      </x:c>
    </x:row>
    <x:row r="27" ht="30" customHeight="1">
      <x:c r="A27" s="25" t="str">
        <x:v>價格來源總表</x:v>
      </x:c>
      <x:c r="B27" s="25" t="str"/>
      <x:c r="C27" s="25" t="str"/>
    </x:row>
    <x:row r="28" ht="54" customHeight="1">
      <x:c r="A28" s="18" t="str">
        <x:v>FX</x:v>
      </x:c>
      <x:c r="B28" s="18" t="str">
        <x:v>Bank of Taiwan USD spot selling
2026-10-05 15:13 displayed snapshot: USD spot buy 31.705, sell 31.805. Budget conversion uses sell 31.805, not an October 8 live execution quote.</x:v>
      </x:c>
      <x:c r="C28" s="18" t="str">
        <x:v>https://www.bot.com.tw/tw/personal-banking/foreign-exchange</x:v>
      </x:c>
    </x:row>
    <x:row r="29" ht="40" customHeight="1">
      <x:c r="A29" s="18" t="str">
        <x:v>FAN</x:v>
      </x:c>
      <x:c r="B29" s="18" t="str">
        <x:v>DigiKey MF40100V1-1000U-A99
NTD 161 at quantity 1. Listed out of stock. Shipping and local tax not added.</x:v>
      </x:c>
      <x:c r="C29" s="18" t="str">
        <x:v>https://www.digikey.tw/en/products/detail/sunon-fans/MF40100V1-1000U-A99/6198732</x:v>
      </x:c>
    </x:row>
    <x:row r="30" ht="68" customHeight="1">
      <x:c r="A30" s="18" t="str">
        <x:v>FASTENER</x:v>
      </x:c>
      <x:c r="B30" s="18" t="str">
        <x:v>Local small-fastener retail benchmark
Listing shows small M3 fasteners around NTD 3 individually. Listed flat-head type is NOT the specified socket cap. Budget allowances 3/4/6 NTD for M3x8/16/35 cap screws, 2 for nuts and 1 for washers; local exact-type prices unverified.</x:v>
      </x:c>
      <x:c r="C30" s="18" t="str">
        <x:v>https://www.ruten.com.tw/item/21306183365097/</x:v>
      </x:c>
    </x:row>
    <x:row r="31" ht="54" customHeight="1">
      <x:c r="A31" s="18" t="str">
        <x:v>SEAL</x:v>
      </x:c>
      <x:c r="B31" s="18" t="str">
        <x:v>Black silicone sheet size reference
0.8 mm selectable stock; exact price unavailable. NTD 150 per small sheet is an engineering allowance, not a verified selling price. Hardness and VOC compatibility unqualified.</x:v>
      </x:c>
      <x:c r="C31" s="18" t="str">
        <x:v>https://www.ruten.com.tw/item/22517308416481/</x:v>
      </x:c>
    </x:row>
    <x:row r="32" ht="54" customHeight="1">
      <x:c r="A32" s="18" t="str">
        <x:v>POWER</x:v>
      </x:c>
      <x:c r="B32" s="18" t="str">
        <x:v>Adafruit 4298 USB-C supply
USD 8.74, 5.1 V 3 A with cable. Price benchmark only; vendor must confirm input and charging configuration. Current budget uses external power, not an unconfirmed battery.</x:v>
      </x:c>
      <x:c r="C32" s="18" t="str">
        <x:v>https://www.adafruit.com/product/4298</x:v>
      </x:c>
    </x:row>
    <x:row r="33" ht="68" customHeight="1">
      <x:c r="A33" s="18" t="str">
        <x:v>GASFILTER</x:v>
      </x:c>
      <x:c r="B33" s="18" t="str">
        <x:v>Gilson ANP1322 SupaTop
USD 95 per 100. Hydrophobic PTFE, 13 mm, 0.22 um, NONSTERILE, air venting listed. Price proxy for 0.2 um gas-filter requirement, not certified sterile replacement. Two used per device; buying a box costs 100 filters.</x:v>
      </x:c>
      <x:c r="C33" s="18" t="str">
        <x:v>https://www.gilson.com/default/catalog/product/view/id/1204/</x:v>
      </x:c>
    </x:row>
    <x:row r="34" ht="54" customHeight="1">
      <x:c r="A34" s="18" t="str">
        <x:v>PTFE</x:v>
      </x:c>
      <x:c r="B34" s="18" t="str">
        <x:v>Tinkersphere 2 mm ID 3 mm OD PTFE
Search listing USD 4.99; sold length not verified. NTD 200 per 1 m is a separate allowance. Printer-feed tubing is not qualified analytical tubing.</x:v>
      </x:c>
      <x:c r="C34" s="18" t="str">
        <x:v>https://tinkersphere.com/3d-printer-parts-supplies/2015-ptfe-teflon-tube-2mm-id-3mm-od-for-175-mm-filament.html</x:v>
      </x:c>
    </x:row>
    <x:row r="35" ht="54" customHeight="1">
      <x:c r="A35" s="18" t="str">
        <x:v>COUPLER</x:v>
      </x:c>
      <x:c r="B35" s="18" t="str">
        <x:v>Adafruit 3 mm ID silicone tubing reference
Related tubing listed USD 2.50 per metre. Budget NTD 150 includes short flexible couplers and matching adapters. Exact ID/OD, Luer interfaces and VOC recovery must be checked; no fit guarantee.</x:v>
      </x:c>
      <x:c r="C35" s="18" t="str">
        <x:v>https://www.adafruit.com/product/4699</x:v>
      </x:c>
    </x:row>
    <x:row r="36" ht="68" customHeight="1">
      <x:c r="A36" s="18" t="str">
        <x:v>OPTIC</x:v>
      </x:c>
      <x:c r="B36" s="18" t="str">
        <x:v>Edmund Optics 67-016 520 nm emission filter
USD 284, 12.5 mm diameter, substrate 2.00 +/-0.25 mm, mounted. Does NOT fit 5.2x4.2x1.0 mm seat. NTD 12000 is a custom thin-filter budget allowance, not a quote or available drop-in part. Cutting this stock part does not solve its thickness mismatch.</x:v>
      </x:c>
      <x:c r="C36" s="18" t="str">
        <x:v>https://www.edmundoptics.com/p/520nm-cwl-125mm-dia-36nm-bandwidth-od-6-fluorescence-filter/21556/</x:v>
      </x:c>
    </x:row>
    <x:row r="37" ht="54" customHeight="1">
      <x:c r="A37" s="18" t="str">
        <x:v>UART</x:v>
      </x:c>
      <x:c r="B37" s="18" t="str">
        <x:v>Adafruit 5335 CP2102N Friend
USD 5.95 each. Signals 3.3 V; power wire 5 V. Leave VCC disconnected at J3. Cable and jumper wires separate.</x:v>
      </x:c>
      <x:c r="C37" s="18" t="str">
        <x:v>https://www.adafruit.com/product/5335</x:v>
      </x:c>
    </x:row>
    <x:row r="38" ht="68" customHeight="1">
      <x:c r="A38" s="18" t="str">
        <x:v>PUMP</x:v>
      </x:c>
      <x:c r="B38" s="18" t="str">
        <x:v>Adafruit 4699 gas pump price benchmark
USD 7.95 for pump alone. 2.5 L/min, intermittent duty; NOT a selected 3 mL/min continuous source. NTD 5000 system allowance requires a qualified controlled source, bypass/regulation, pressure protection, fittings and supply. Borrow a suitable lab system first.</x:v>
      </x:c>
      <x:c r="C38" s="18" t="str">
        <x:v>https://www.adafruit.com/product/4699</x:v>
      </x:c>
    </x:row>
    <x:row r="39" ht="68" customHeight="1">
      <x:c r="A39" s="18" t="str">
        <x:v>FLOW</x:v>
      </x:c>
      <x:c r="B39" s="18" t="str">
        <x:v>Omega precision rotameter range reference
FL-320 nominal air range 0.02-15 cc/min. Historical price deliberately not treated as current. NTD 15000 is a planning allowance pending current calibrated meter quote; 3 mL/min must fall within usable range.</x:v>
      </x:c>
      <x:c r="C39" s="18" t="str">
        <x:v>https://br.omega.com/omegaFiles/green/pdf/FL120.pdf</x:v>
      </x:c>
    </x:row>
    <x:row r="40" ht="54" customHeight="1">
      <x:c r="A40" s="18" t="str">
        <x:v>DYE</x:v>
      </x:c>
      <x:c r="B40" s="18" t="str">
        <x:v>Sigma 46970 sodium fluorescein
USD 52.60 per 100 g. Budget includes whole bottle, not a fictitious single-well quantity. Prefer a documented laboratory aliquot. Not an assay-specific or GCaMP-certified standard.</x:v>
      </x:c>
      <x:c r="C40" s="18" t="str">
        <x:v>https://www.sigmaaldrich.com/US/en/product/sigma/46970</x:v>
      </x:c>
    </x:row>
    <x:row r="41" ht="54" customHeight="1">
      <x:c r="A41" s="18" t="str">
        <x:v>VALVE</x:v>
      </x:c>
      <x:c r="B41" s="18" t="str">
        <x:v>Adafruit 4663 FA0520E
USD 2.95 for 6 V valve alone. NTD 500 system allowance includes driver, flyback diode, supply and fittings. Future only; VOC wetted-material suitability and firmware support unverified.</x:v>
      </x:c>
      <x:c r="C41" s="18" t="str">
        <x:v>https://www.adafruit.com/product/4663</x:v>
      </x:c>
    </x:row>
    <x:row r="42" ht="54" customHeight="1">
      <x:c r="A42" s="18" t="str">
        <x:v>PDMS</x:v>
      </x:c>
      <x:c r="B42" s="18" t="str">
        <x:v>Dow Sylgard 184 0.5 kg kit reference
Kit identity found; current public price not verified. NTD 6000 planning allowance for kit and basic casting consumables. No claim that PDMS removes water selectively.</x:v>
      </x:c>
      <x:c r="C42" s="18" t="str">
        <x:v>https://labproinc.com/products/dow-sylgard-184-silicone-encapsulant-clear-0-5-kg-kit-184-sil-elast-kit-0-5kg</x:v>
      </x:c>
    </x:row>
    <x:row r="43" ht="68" customHeight="1">
      <x:c r="A43" s="18" t="str">
        <x:v>TOOLS</x:v>
      </x:c>
      <x:c r="B43" s="18" t="str">
        <x:v>Local tools and lab access allowance
Engineering allowances only: hand tools/calipers NTD 1500; DMM 800; scope 10000; pipette/tips 4000; print/post-cure supplies 300. Borrow existing printer, wash/cure equipment, PC, phone, biosafety/cell facilities. Their capital replacement prices are outside this BOM.</x:v>
      </x:c>
      <x:c r="C43" s="18" t="str">
        <x:v>Original planning record; no public price URL.</x:v>
      </x:c>
    </x:row>
    <x:row r="44" ht="40" customHeight="1">
      <x:c r="A44" s="18" t="str">
        <x:v>PCB_LED</x:v>
      </x:c>
      <x:c r="B44" s="18" t="str">
        <x:v>DigiKey 155124BS73200
NTD 17 each at quantity 1.</x:v>
      </x:c>
      <x:c r="C44" s="18" t="str">
        <x:v>https://www.digikey.tw/en/products/detail/w%C3%BCrth-elektronik/155124BS73200/4490035</x:v>
      </x:c>
    </x:row>
    <x:row r="45" ht="40" customHeight="1">
      <x:c r="A45" s="18" t="str">
        <x:v>PCB_PD</x:v>
      </x:c>
      <x:c r="B45" s="18" t="str">
        <x:v>DigiKey VEMD5060X01
NTD 68 each at quantity 1.</x:v>
      </x:c>
      <x:c r="C45" s="18" t="str">
        <x:v>https://www.digikey.tw/en/products/detail/vishay-semiconductor-opto-division/VEMD5060X01/5879084</x:v>
      </x:c>
    </x:row>
    <x:row r="46" ht="54" customHeight="1">
      <x:c r="A46" s="18" t="str">
        <x:v>PCB_U1</x:v>
      </x:c>
      <x:c r="B46" s="18" t="str">
        <x:v>DigiKey TPS61023 family
Search results list TPS61023DRLT cut tape NTD 52. Packaging-suffix proxy for vendor TPS61023; exact order code requires confirmation.</x:v>
      </x:c>
      <x:c r="C46" s="18" t="str">
        <x:v>https://www.digikey.tw/en/products/detail/texas-instruments/TPS61023DRLR/11310629</x:v>
      </x:c>
    </x:row>
    <x:row r="47" ht="40" customHeight="1">
      <x:c r="A47" s="18" t="str">
        <x:v>PCB_U2</x:v>
      </x:c>
      <x:c r="B47" s="18" t="str">
        <x:v>DigiKey BQ24074RGTR
NTD 88 each at quantity 1; RGT package assumed from schematic.</x:v>
      </x:c>
      <x:c r="C47" s="18" t="str">
        <x:v>https://www.digikey.tw/en/products/detail/texas-instruments/BQ24074RGTR/2047269</x:v>
      </x:c>
    </x:row>
    <x:row r="48" ht="40" customHeight="1">
      <x:c r="A48" s="18" t="str">
        <x:v>PCB_U4</x:v>
      </x:c>
      <x:c r="B48" s="18" t="str">
        <x:v>DigiKey ESP32-WROOM-32E-N4
NTD 181 each. N4 is a price proxy; vendor flash suffix missing.</x:v>
      </x:c>
      <x:c r="C48" s="18" t="str">
        <x:v>https://www.digikey.tw/en/products/detail/espressif-systems/ESP32-WROOM-32E-N4/11613125</x:v>
      </x:c>
    </x:row>
    <x:row r="49" ht="40" customHeight="1">
      <x:c r="A49" s="18" t="str">
        <x:v>PCB_U6</x:v>
      </x:c>
      <x:c r="B49" s="18" t="str">
        <x:v>DigiKey LP5907MFX-3.3/NOPB
NTD 24 each at quantity 1.</x:v>
      </x:c>
      <x:c r="C49" s="18" t="str">
        <x:v>https://www.digikey.tw/en/products/detail/texas-instruments/LP5907MFX-3-3-NOPB/3906441</x:v>
      </x:c>
    </x:row>
    <x:row r="50" ht="40" customHeight="1">
      <x:c r="A50" s="18" t="str">
        <x:v>PCB_U7</x:v>
      </x:c>
      <x:c r="B50" s="18" t="str">
        <x:v>DigiKey LTC6655BHMS8-2.5#TRPBF
NTD 628 for cut tape. Packaging proxy for #PBF; listed no stock.</x:v>
      </x:c>
      <x:c r="C50" s="18" t="str">
        <x:v>https://www.digikey.tw/en/products/detail/analog-devices-inc/LTC6655BHMS8-2-5-TRPBF/2181717</x:v>
      </x:c>
    </x:row>
    <x:row r="51" ht="40" customHeight="1">
      <x:c r="A51" s="18" t="str">
        <x:v>PCB_U8</x:v>
      </x:c>
      <x:c r="B51" s="18" t="str">
        <x:v>DigiKey LMP7721MAX/NOPB listing
Search listing NTD 226 for MAX/NOPB. Vendor LMP7721 suffix missing; package proxy.</x:v>
      </x:c>
      <x:c r="C51" s="18" t="str">
        <x:v>https://www.digikey.tw/en/products/filter/linear/amplifiers/instrumentation-op-amps-buffer-amps/687</x:v>
      </x:c>
    </x:row>
    <x:row r="52" ht="40" customHeight="1">
      <x:c r="A52" s="18" t="str">
        <x:v>PCB_U9</x:v>
      </x:c>
      <x:c r="B52" s="18" t="str">
        <x:v>DigiKey ADS8866IDGS
NTD 306 each at quantity 1.</x:v>
      </x:c>
      <x:c r="C52" s="18" t="str">
        <x:v>https://www.digikey.tw/zh/products/detail/texas-instruments/ADS8866IDGS/5176196</x:v>
      </x:c>
    </x:row>
    <x:row r="53" ht="82" customHeight="1">
      <x:c r="A53" s="18" t="str">
        <x:v>PCB_MISC</x:v>
      </x:c>
      <x:c r="B53" s="18" t="str">
        <x:v>Unspecified PCB parts allowance
Generic single-piece budgets, NOT verified quotations: small resistors NTD 1, high-value resistor 30, shunt 5; ceramics 2-8; bulk capacitor 15; LED 2; MOSFET 5; inductor 10; connectors 5-30; switches 5-15; linear regulator 10. Unknown U3 remains unpriced. Do not purchase substitutes without vendor values, packages and ratings.</x:v>
      </x:c>
      <x:c r="C53" s="18" t="str">
        <x:v>Original planning record; no public price URL.</x:v>
      </x:c>
    </x:row>
    <x:row r="54" ht="30" customHeight="1">
      <x:c r="A54" s="25" t="str">
        <x:v>規格來源總表</x:v>
      </x:c>
      <x:c r="B54" s="25" t="str"/>
      <x:c r="C54" s="25" t="str"/>
    </x:row>
    <x:row r="55" ht="28" customHeight="1">
      <x:c r="A55" s="18" t="str">
        <x:v>procurement: CAD</x:v>
      </x:c>
      <x:c r="B55" s="18" t="str">
        <x:v>Existing frozen geometry; read-only audit, no changes.</x:v>
      </x:c>
      <x:c r="C55" s="18" t="str">
        <x:v>原始來源識別：09_engineering_sources/CAD/aerosense.scad</x:v>
      </x:c>
    </x:row>
    <x:row r="56" ht="28" customHeight="1">
      <x:c r="A56" s="18" t="str">
        <x:v>procurement: STL</x:v>
      </x:c>
      <x:c r="B56" s="18" t="str">
        <x:v>All8 binary STL bounds independently read; exported Z minima are0. Assembly coordinates are separate.</x:v>
      </x:c>
      <x:c r="C56" s="18" t="str">
        <x:v>原始來源識別：01_print</x:v>
      </x:c>
    </x:row>
    <x:row r="57" ht="28" customHeight="1">
      <x:c r="A57" s="18" t="str">
        <x:v>procurement: ASM</x:v>
      </x:c>
      <x:c r="B57" s="18" t="str"/>
      <x:c r="C57" s="18" t="str">
        <x:v>原始來源識別：04_manuals/Assembly_Manual_ZH.md</x:v>
      </x:c>
    </x:row>
    <x:row r="58" ht="28" customHeight="1">
      <x:c r="A58" s="18" t="str">
        <x:v>procurement: GASKET</x:v>
      </x:c>
      <x:c r="B58" s="18" t="str"/>
      <x:c r="C58" s="18" t="str">
        <x:v>原始來源識別：09_engineering_sources/CAD/drawings/gasket_cut_template_1to1.svg</x:v>
      </x:c>
    </x:row>
    <x:row r="59" ht="28" customHeight="1">
      <x:c r="A59" s="18" t="str">
        <x:v>procurement: FLOW</x:v>
      </x:c>
      <x:c r="B59" s="18" t="str"/>
      <x:c r="C59" s="18" t="str">
        <x:v>原始來源識別：02_simulation/airflow/Flow_Operation_ZH.md</x:v>
      </x:c>
    </x:row>
    <x:row r="60" ht="28" customHeight="1">
      <x:c r="A60" s="18" t="str">
        <x:v>procurement: OPTICS</x:v>
      </x:c>
      <x:c r="B60" s="18" t="str"/>
      <x:c r="C60" s="18" t="str">
        <x:v>原始來源識別：02_simulation/optics/Analysis_EN.md</x:v>
      </x:c>
    </x:row>
    <x:row r="61" ht="28" customHeight="1">
      <x:c r="A61" s="18" t="str">
        <x:v>procurement: OPERATION</x:v>
      </x:c>
      <x:c r="B61" s="18" t="str"/>
      <x:c r="C61" s="18" t="str">
        <x:v>原始來源識別：03_software/guides/Operation_and_Setup_EN.md</x:v>
      </x:c>
    </x:row>
    <x:row r="62" ht="28" customHeight="1">
      <x:c r="A62" s="18" t="str">
        <x:v>procurement: VALIDATION</x:v>
      </x:c>
      <x:c r="B62" s="18" t="str"/>
      <x:c r="C62" s="18" t="str">
        <x:v>原始來源識別：07_validation/Fluorescence_and_Cell_Test_ZH.md</x:v>
      </x:c>
    </x:row>
    <x:row r="63" ht="28" customHeight="1">
      <x:c r="A63" s="18" t="str">
        <x:v>procurement: ELEC</x:v>
      </x:c>
      <x:c r="B63" s="18" t="str">
        <x:v>Schematic interpretation supplied by optics audit agent2026-10-06; value/MPN uncertainties retained.</x:v>
      </x:c>
      <x:c r="C63" s="18" t="str">
        <x:v>原始來源識別：08_reference/NTHU_TEST_BOARD_Schematic.pdf</x:v>
      </x:c>
    </x:row>
    <x:row r="64" ht="28" customHeight="1">
      <x:c r="A64" s="18" t="str">
        <x:v>procurement: FAN</x:v>
      </x:c>
      <x:c r="B64" s="18" t="str">
        <x:v>Official SUNON catalogue,printed p32/PDF p32; candidate5V136mA0.68W;frame40±0.5,pitch32±0.3.</x:v>
      </x:c>
      <x:c r="C64" s="18" t="str">
        <x:v>https://www.sunon.com/eu/MANAGE/Docs/WEBCONT/Files/1236/DC%20Fan_20240630(255-E)_s.pdf</x:v>
      </x:c>
    </x:row>
    <x:row r="65" ht="40" customHeight="1">
      <x:c r="A65" s="18" t="str">
        <x:v>procurement: SCREW</x:v>
      </x:c>
      <x:c r="B65" s="18" t="str">
        <x:v>Official Bossard M3 ISO4762/DIN912 dimensional reference:head5.5,height3,hex2.5. This30-mm article is a family-dimension reference,not a purchased length or MPN selection.</x:v>
      </x:c>
      <x:c r="C65" s="18" t="str">
        <x:v>https://nederland.bossard.com/en-us/standard-fastening-elements/screws/screws-and-bolts-with-internal-drive/912000a20030030</x:v>
      </x:c>
    </x:row>
    <x:row r="66" ht="28" customHeight="1">
      <x:c r="A66" s="18" t="str">
        <x:v>procurement: PITCH</x:v>
      </x:c>
      <x:c r="B66" s="18" t="str">
        <x:v>Official KIPP coarse metric pitch:M3×0.5.</x:v>
      </x:c>
      <x:c r="C66" s="18" t="str">
        <x:v>https://www.kippusa.com/en-us/measurement-units</x:v>
      </x:c>
    </x:row>
    <x:row r="67" ht="40" customHeight="1">
      <x:c r="A67" s="18" t="str">
        <x:v>procurement: NUT</x:v>
      </x:c>
      <x:c r="B67" s="18" t="str">
        <x:v>Bossard manufacturer datasheet hosted by distributor,BN629 DIN934/~ISO4032:M3,AF5.5,height max2.4. Dimensional evidence,not selected MPN.</x:v>
      </x:c>
      <x:c r="C67" s="18" t="str">
        <x:v>https://media.distrelec.com/Web/Downloads/_t/ds/1241613_eng_tds.pdf</x:v>
      </x:c>
    </x:row>
    <x:row r="68" ht="40" customHeight="1">
      <x:c r="A68" s="18" t="str">
        <x:v>procurement: WASHER</x:v>
      </x:c>
      <x:c r="B68" s="18" t="str">
        <x:v>Direct supplier dimensional reference:ID3.2/OD7/thickness0.5. Nylon article is not a final material/MPN selection; PCB insulation choice remains open.</x:v>
      </x:c>
      <x:c r="C68" s="18" t="str">
        <x:v>https://www.accu.co.uk/metric-flat-washers/465682-HPW-3-2-7-0-5-N</x:v>
      </x:c>
    </x:row>
    <x:row r="69" ht="54" customHeight="1">
      <x:c r="A69" s="18" t="str">
        <x:v>PCB: vendor_BOM</x:v>
      </x:c>
      <x:c r="B69" s="18" t="str">
        <x:v>NTHU_TEST_BOARD_BOM.docx, vendor table, 61 rows
Accessed: 2026-10-06
SHA256: 3541da4a10afbfc371f4ec7c8094329fea7ed84635b543628252fe67276fa4b8</x:v>
      </x:c>
      <x:c r="C69" s="18" t="str">
        <x:v>原始來源識別：08_reference/NTHU_TEST_BOARD_BOM.docx</x:v>
      </x:c>
    </x:row>
    <x:row r="70" ht="54" customHeight="1">
      <x:c r="A70" s="18" t="str">
        <x:v>PCB: schematic</x:v>
      </x:c>
      <x:c r="B70" s="18" t="str">
        <x:v>NTHU_TEST_BOARD_Schematic.pdf, version A, 14 September 2026, sheets 1–2
Accessed: 2026-10-06
SHA256: c8cfc0600a6d34740c1caac24f37d9eaea6bea59b88278e4258988769939d07e</x:v>
      </x:c>
      <x:c r="C70" s="18" t="str">
        <x:v>原始來源識別：08_reference/NTHU_TEST_BOARD_Schematic.pdf</x:v>
      </x:c>
    </x:row>
    <x:row r="71" ht="40" customHeight="1">
      <x:c r="A71" s="18" t="str">
        <x:v>PCB: TI_TPS61023</x:v>
      </x:c>
      <x:c r="B71" s="18" t="str">
        <x:v>Texas Instruments TPS61023 product information
Accessed: 2026-10-06</x:v>
      </x:c>
      <x:c r="C71" s="18" t="str">
        <x:v>https://www.ti.com/product/TPS61023</x:v>
      </x:c>
    </x:row>
    <x:row r="72" ht="40" customHeight="1">
      <x:c r="A72" s="18" t="str">
        <x:v>PCB: TI_BQ24074</x:v>
      </x:c>
      <x:c r="B72" s="18" t="str">
        <x:v>Texas Instruments BQ24074 product information
Accessed: 2026-10-06</x:v>
      </x:c>
      <x:c r="C72" s="18" t="str">
        <x:v>https://www.ti.com/product/BQ24074</x:v>
      </x:c>
    </x:row>
    <x:row r="73" ht="40" customHeight="1">
      <x:c r="A73" s="18" t="str">
        <x:v>PCB: TI_LP5907</x:v>
      </x:c>
      <x:c r="B73" s="18" t="str">
        <x:v>Texas Instruments LP5907 datasheet, ordering/package information
Accessed: 2026-10-06</x:v>
      </x:c>
      <x:c r="C73" s="18" t="str">
        <x:v>https://www.ti.com/lit/ds/symlink/lp5907.pdf</x:v>
      </x:c>
    </x:row>
    <x:row r="74" ht="40" customHeight="1">
      <x:c r="A74" s="18" t="str">
        <x:v>PCB: TI_LMP7721</x:v>
      </x:c>
      <x:c r="B74" s="18" t="str">
        <x:v>Texas Instruments LMP7721 product information
Accessed: 2026-10-06</x:v>
      </x:c>
      <x:c r="C74" s="18" t="str">
        <x:v>https://www.ti.com/product/LMP7721</x:v>
      </x:c>
    </x:row>
    <x:row r="75" ht="40" customHeight="1">
      <x:c r="A75" s="18" t="str">
        <x:v>PCB: TI_ADS8866</x:v>
      </x:c>
      <x:c r="B75" s="18" t="str">
        <x:v>Texas Instruments ADS8866 datasheet, ADS8866IDGS ordering information
Accessed: 2026-10-06</x:v>
      </x:c>
      <x:c r="C75" s="18" t="str">
        <x:v>https://www.ti.com/lit/ds/symlink/ads8866.pdf</x:v>
      </x:c>
    </x:row>
    <x:row r="76" ht="40" customHeight="1">
      <x:c r="A76" s="18" t="str">
        <x:v>PCB: ADI_LTC6655</x:v>
      </x:c>
      <x:c r="B76" s="18" t="str">
        <x:v>Analog Devices LTC6655 / LTC6655LN datasheet
Accessed: 2026-10-06</x:v>
      </x:c>
      <x:c r="C76" s="18" t="str">
        <x:v>https://www.analog.com/media/en/technical-documentation/data-sheets/LTC6655-6655LN.pdf</x:v>
      </x:c>
    </x:row>
    <x:row r="77" ht="40" customHeight="1">
      <x:c r="A77" s="18" t="str">
        <x:v>PCB: ECMOS_EC50117</x:v>
      </x:c>
      <x:c r="B77" s="18" t="str">
        <x:v>E-CMOS EC50117 datasheet 9L05N Rev F004; page 2 EC50117KBG ordering row
Accessed: 2026-10-06</x:v>
      </x:c>
      <x:c r="C77" s="18" t="str">
        <x:v>https://www.ecmos.com.tw/wp-content/uploads/2022/07/EC50117_9L05N-Rev.F004.pdf</x:v>
      </x:c>
    </x:row>
    <x:row r="78" ht="40" customHeight="1">
      <x:c r="A78" s="18" t="str">
        <x:v>PCB: ESPRESSIF_32E</x:v>
      </x:c>
      <x:c r="B78" s="18" t="str">
        <x:v>Espressif ESP32-WROOM-32E / ESP32-WROOM-32UE datasheet
Accessed: 2026-10-06</x:v>
      </x:c>
      <x:c r="C78" s="18" t="str">
        <x:v>https://www.espressif.com/sites/default/files/documentation/esp32-wroom-32e_esp32-wroom-32ue_datasheet_en.pdf</x:v>
      </x:c>
    </x:row>
    <x:row r="79" ht="40" customHeight="1">
      <x:c r="A79" s="18" t="str">
        <x:v>PCB: WURTH_LED</x:v>
      </x:c>
      <x:c r="B79" s="18" t="str">
        <x:v>Würth Elektronik 155124BS73200 datasheet
Accessed: 2026-10-06</x:v>
      </x:c>
      <x:c r="C79" s="18" t="str">
        <x:v>https://www.we-online.com/components/products/datasheet/155124BS73200.pdf</x:v>
      </x:c>
    </x:row>
    <x:row r="80" ht="40" customHeight="1">
      <x:c r="A80" s="18" t="str">
        <x:v>PCB: VISHAY_PD</x:v>
      </x:c>
      <x:c r="B80" s="18" t="str">
        <x:v>Vishay VEMD5060X01 product information, document 84278
Accessed: 2026-10-06</x:v>
      </x:c>
      <x:c r="C80" s="18" t="str">
        <x:v>https://www.vishay.com/en/product/84278/</x:v>
      </x:c>
    </x:row>
    <x:row r="81" ht="40" customHeight="1">
      <x:c r="A81" s="18" t="str">
        <x:v>PCB: AOS_AO3400A</x:v>
      </x:c>
      <x:c r="B81" s="18" t="str">
        <x:v>Alpha &amp; Omega Semiconductor AO3400A datasheet
Accessed: 2026-10-06</x:v>
      </x:c>
      <x:c r="C81" s="18" t="str">
        <x:v>https://www.aosmd.com/res/data_sheets/AO3400A.pdf</x:v>
      </x:c>
    </x:row>
    <x:row r="82" ht="30" customHeight="1">
      <x:c r="A82" s="25" t="str">
        <x:v>採購補充來源</x:v>
      </x:c>
      <x:c r="B82" s="25" t="str"/>
      <x:c r="C82" s="25" t="str"/>
    </x:row>
    <x:row r="83" ht="28" customHeight="1">
      <x:c r="A83" s="18" t="str">
        <x:v>歷史欄位</x:v>
      </x:c>
      <x:c r="B83" s="18" t="str">
        <x:v>以下保留料號、原始来源欄位與早期估值，不取代目前價格輸入，也不另外加總。</x:v>
      </x:c>
      <x:c r="C83" s="18" t="str"/>
    </x:row>
    <x:row r="84" ht="96" customHeight="1">
      <x:c r="A84" s="18" t="str">
        <x:v>F01</x:v>
      </x:c>
      <x:c r="B84" s="18" t="str">
        <x:v>price_source: FAN
source: RS 2025400 viewed 2026-09-24 incl tax; out of stock then. https://twcn.rs-online.com/web/p/axial-fans/2025400
low: 161
high: 161
source_zh: CAD; ASM; FAN</x:v>
      </x:c>
      <x:c r="C84" s="18" t="str">
        <x:v>歷史來源欄位；採用 Purchase 的現行價格欄。</x:v>
      </x:c>
    </x:row>
    <x:row r="85" ht="82" customHeight="1">
      <x:c r="A85" s="18" t="str">
        <x:v>H01</x:v>
      </x:c>
      <x:c r="B85" s="18" t="str">
        <x:v>price_source: FASTENER
source: Quotation pending; no invented price / 尚待報價，未填假價格
low: 3
high: 3
source_zh: CAD; ASM; SCREW; PITCH</x:v>
      </x:c>
      <x:c r="C85" s="18" t="str">
        <x:v>歷史來源欄位；採用 Purchase 的現行價格欄。</x:v>
      </x:c>
    </x:row>
    <x:row r="86" ht="82" customHeight="1">
      <x:c r="A86" s="18" t="str">
        <x:v>H02</x:v>
      </x:c>
      <x:c r="B86" s="18" t="str">
        <x:v>price_source: FASTENER
source: Quotation pending; no invented price / 尚待報價，未填假價格
low: 4
high: 4
source_zh: CAD; ASM; SCREW; PITCH</x:v>
      </x:c>
      <x:c r="C86" s="18" t="str">
        <x:v>歷史來源欄位；採用 Purchase 的現行價格欄。</x:v>
      </x:c>
    </x:row>
    <x:row r="87" ht="82" customHeight="1">
      <x:c r="A87" s="18" t="str">
        <x:v>H03</x:v>
      </x:c>
      <x:c r="B87" s="18" t="str">
        <x:v>price_source: FASTENER
source: Quotation pending; no invented price / 尚待報價，未填假價格
low: 6
high: 6
source_zh: CAD; ASM; SCREW; PITCH</x:v>
      </x:c>
      <x:c r="C87" s="18" t="str">
        <x:v>歷史來源欄位；採用 Purchase 的現行價格欄。</x:v>
      </x:c>
    </x:row>
    <x:row r="88" ht="82" customHeight="1">
      <x:c r="A88" s="18" t="str">
        <x:v>H04</x:v>
      </x:c>
      <x:c r="B88" s="18" t="str">
        <x:v>price_source: FASTENER
source: Planning allowance, NOT supplier quote / 預算假設，非報價
low: 2
high: 2
source_zh: CAD; ASM; NUT</x:v>
      </x:c>
      <x:c r="C88" s="18" t="str">
        <x:v>歷史來源欄位；採用 Purchase 的現行價格欄。</x:v>
      </x:c>
    </x:row>
    <x:row r="89" ht="82" customHeight="1">
      <x:c r="A89" s="18" t="str">
        <x:v>H05</x:v>
      </x:c>
      <x:c r="B89" s="18" t="str">
        <x:v>price_source: FASTENER
source: Planning allowance, NOT supplier quote / 預算假設，非報價
low: 1
high: 1
source_zh: CAD; ASM; WASHER</x:v>
      </x:c>
      <x:c r="C89" s="18" t="str">
        <x:v>歷史來源欄位；採用 Purchase 的現行價格欄。</x:v>
      </x:c>
    </x:row>
    <x:row r="90" ht="82" customHeight="1">
      <x:c r="A90" s="18" t="str">
        <x:v>E01</x:v>
      </x:c>
      <x:c r="B90" s="18" t="str">
        <x:v>price_source: TOOLS
source: Planning allowance, NOT supplier quote / 預算假設，非報價
low: 80
high: 80
source_zh: ASM; ELEC</x:v>
      </x:c>
      <x:c r="C90" s="18" t="str">
        <x:v>歷史來源欄位；採用 Purchase 的現行價格欄。</x:v>
      </x:c>
    </x:row>
    <x:row r="91" ht="82" customHeight="1">
      <x:c r="A91" s="18" t="str">
        <x:v>S01</x:v>
      </x:c>
      <x:c r="B91" s="18" t="str">
        <x:v>price_source: SEAL
source: Planning allowance, NOT supplier quote / 預算假設，非報價
low: 150
high: 150
source_zh: CAD; ASM; GASKET</x:v>
      </x:c>
      <x:c r="C91" s="18" t="str">
        <x:v>歷史來源欄位；採用 Purchase 的現行價格欄。</x:v>
      </x:c>
    </x:row>
    <x:row r="92" ht="82" customHeight="1">
      <x:c r="A92" s="18" t="str">
        <x:v>E02</x:v>
      </x:c>
      <x:c r="B92" s="18" t="str">
        <x:v>price_source: POWER
source: Quotation pending; no invented price / 尚待報價，未填假價格
low: 277.9757
high: 277.9757
source_zh: ELEC; ASM</x:v>
      </x:c>
      <x:c r="C92" s="18" t="str">
        <x:v>歷史來源欄位；採用 Purchase 的現行價格欄。</x:v>
      </x:c>
    </x:row>
    <x:row r="93" ht="82" customHeight="1">
      <x:c r="A93" s="18" t="str">
        <x:v>G01</x:v>
      </x:c>
      <x:c r="B93" s="18" t="str">
        <x:v>price_source: GASFILTER
source: Quotation pending; no invented price / 尚待報價，未填假價格
low: 30.21475
high: 30.21475
source_zh: ASM; FLOW</x:v>
      </x:c>
      <x:c r="C93" s="18" t="str">
        <x:v>歷史來源欄位；採用 Purchase 的現行價格欄。</x:v>
      </x:c>
    </x:row>
    <x:row r="94" ht="82" customHeight="1">
      <x:c r="A94" s="18" t="str">
        <x:v>G02</x:v>
      </x:c>
      <x:c r="B94" s="18" t="str">
        <x:v>price_source: PTFE
source: Planning allowance, NOT supplier quote / 預算假設，非報價
low: 200
high: 200
source_zh: CAD; ASM; FLOW</x:v>
      </x:c>
      <x:c r="C94" s="18" t="str">
        <x:v>歷史來源欄位；採用 Purchase 的現行價格欄。</x:v>
      </x:c>
    </x:row>
    <x:row r="95" ht="82" customHeight="1">
      <x:c r="A95" s="18" t="str">
        <x:v>G03</x:v>
      </x:c>
      <x:c r="B95" s="18" t="str">
        <x:v>price_source: COUPLER
source: Quotation pending; no invented price / 尚待報價，未填假價格
low: 150
high: 150
source_zh: CAD; ASM</x:v>
      </x:c>
      <x:c r="C95" s="18" t="str">
        <x:v>歷史來源欄位；採用 Purchase 的現行價格欄。</x:v>
      </x:c>
    </x:row>
    <x:row r="96" ht="82" customHeight="1">
      <x:c r="A96" s="18" t="str">
        <x:v>O01</x:v>
      </x:c>
      <x:c r="B96" s="18" t="str">
        <x:v>price_source: OPTIC
source: Quotation pending; no invented price / 尚待報價，未填假價格
low: 12000
high: 12000
source_zh: CAD; ASM; OPTICS</x:v>
      </x:c>
      <x:c r="C96" s="18" t="str">
        <x:v>歷史來源欄位；採用 Purchase 的現行價格欄。</x:v>
      </x:c>
    </x:row>
    <x:row r="97" ht="82" customHeight="1">
      <x:c r="A97" s="18" t="str">
        <x:v>P01</x:v>
      </x:c>
      <x:c r="B97" s="18" t="str">
        <x:v>price_source: UART
source: Quotation pending; no invented price / 尚待報價，未填假價格
low: 189.23975000000002
high: 189.23975000000002
source_zh: OPERATION; ELEC</x:v>
      </x:c>
      <x:c r="C97" s="18" t="str">
        <x:v>歷史來源欄位；採用 Purchase 的現行價格欄。</x:v>
      </x:c>
    </x:row>
    <x:row r="98" ht="82" customHeight="1">
      <x:c r="A98" s="18" t="str">
        <x:v>L01</x:v>
      </x:c>
      <x:c r="B98" s="18" t="str">
        <x:v>price_source: PUMP
source: Quotation pending; no invented price / 尚待報價，未填假價格
low: 5000
high: 5000
source_zh: ASM; FLOW</x:v>
      </x:c>
      <x:c r="C98" s="18" t="str">
        <x:v>歷史來源欄位；採用 Purchase 的現行價格欄。</x:v>
      </x:c>
    </x:row>
    <x:row r="99" ht="82" customHeight="1">
      <x:c r="A99" s="18" t="str">
        <x:v>L02</x:v>
      </x:c>
      <x:c r="B99" s="18" t="str">
        <x:v>price_source: TOOLS
source: Quotation pending; no invented price / 尚待報價，未填假價格
low: 1500
high: 1500
source_zh: ASM; SCREW</x:v>
      </x:c>
      <x:c r="C99" s="18" t="str">
        <x:v>歷史來源欄位；採用 Purchase 的現行價格欄。</x:v>
      </x:c>
    </x:row>
    <x:row r="100" ht="82" customHeight="1">
      <x:c r="A100" s="18" t="str">
        <x:v>L03</x:v>
      </x:c>
      <x:c r="B100" s="18" t="str">
        <x:v>price_source: DYE
source: Quotation pending; no invented price / 尚待報價，未填假價格
low: 1672.943
high: 1672.943
source_zh: VALIDATION; OPERATION</x:v>
      </x:c>
      <x:c r="C100" s="18" t="str">
        <x:v>歷史來源欄位；採用 Purchase 的現行價格欄。</x:v>
      </x:c>
    </x:row>
    <x:row r="101" ht="40" customHeight="1">
      <x:c r="A101" s="18" t="str">
        <x:v>P02</x:v>
      </x:c>
      <x:c r="B101" s="18" t="str">
        <x:v>low: 150
high: 150</x:v>
      </x:c>
      <x:c r="C101" s="18" t="str">
        <x:v>歷史來源欄位；採用 Purchase 的現行價格欄。</x:v>
      </x:c>
    </x:row>
    <x:row r="102" ht="40" customHeight="1">
      <x:c r="A102" s="18" t="str">
        <x:v>L04</x:v>
      </x:c>
      <x:c r="B102" s="18" t="str">
        <x:v>low: 15000
high: 15000</x:v>
      </x:c>
      <x:c r="C102" s="18" t="str">
        <x:v>歷史來源欄位；採用 Purchase 的現行價格欄。</x:v>
      </x:c>
    </x:row>
    <x:row r="103" ht="40" customHeight="1">
      <x:c r="A103" s="18" t="str">
        <x:v>L05</x:v>
      </x:c>
      <x:c r="B103" s="18" t="str">
        <x:v>low: 800
high: 800</x:v>
      </x:c>
      <x:c r="C103" s="18" t="str">
        <x:v>歷史來源欄位；採用 Purchase 的現行價格欄。</x:v>
      </x:c>
    </x:row>
    <x:row r="104" ht="40" customHeight="1">
      <x:c r="A104" s="18" t="str">
        <x:v>L06</x:v>
      </x:c>
      <x:c r="B104" s="18" t="str">
        <x:v>low: 10000
high: 10000</x:v>
      </x:c>
      <x:c r="C104" s="18" t="str">
        <x:v>歷史來源欄位；採用 Purchase 的現行價格欄。</x:v>
      </x:c>
    </x:row>
    <x:row r="105" ht="40" customHeight="1">
      <x:c r="A105" s="18" t="str">
        <x:v>L07</x:v>
      </x:c>
      <x:c r="B105" s="18" t="str">
        <x:v>low: 4000
high: 4000</x:v>
      </x:c>
      <x:c r="C105" s="18" t="str">
        <x:v>歷史來源欄位；採用 Purchase 的現行價格欄。</x:v>
      </x:c>
    </x:row>
    <x:row r="106" ht="40" customHeight="1">
      <x:c r="A106" s="18" t="str">
        <x:v>L08</x:v>
      </x:c>
      <x:c r="B106" s="18" t="str">
        <x:v>low: 300
high: 300</x:v>
      </x:c>
      <x:c r="C106" s="18" t="str">
        <x:v>歷史來源欄位；採用 Purchase 的現行價格欄。</x:v>
      </x:c>
    </x:row>
    <x:row r="107" ht="40" customHeight="1">
      <x:c r="A107" s="18" t="str">
        <x:v>FUT01</x:v>
      </x:c>
      <x:c r="B107" s="18" t="str">
        <x:v>low: 6000
high: 6000</x:v>
      </x:c>
      <x:c r="C107" s="18" t="str">
        <x:v>歷史來源欄位；採用 Purchase 的現行價格欄。</x:v>
      </x:c>
    </x:row>
    <x:row r="108" ht="40" customHeight="1">
      <x:c r="A108" s="18" t="str">
        <x:v>FUT02</x:v>
      </x:c>
      <x:c r="B108" s="18" t="str">
        <x:v>low: 500
high: 500</x:v>
      </x:c>
      <x:c r="C108" s="18" t="str">
        <x:v>歷史來源欄位；採用 Purchase 的現行價格欄。</x:v>
      </x:c>
    </x:row>
    <x:row r="109" ht="40" customHeight="1">
      <x:c r="A109" s="18" t="str">
        <x:v>FUT03</x:v>
      </x:c>
      <x:c r="B109" s="18" t="str">
        <x:v>low: 1000
high: 1000</x:v>
      </x:c>
      <x:c r="C109" s="18" t="str">
        <x:v>歷史來源欄位；採用 Purchase 的現行價格欄。</x:v>
      </x:c>
    </x:row>
    <x:row r="110" ht="30" customHeight="1">
      <x:c r="A110" s="25" t="str">
        <x:v>PCB 補充來源</x:v>
      </x:c>
      <x:c r="B110" s="25" t="str"/>
      <x:c r="C110" s="25" t="str"/>
    </x:row>
    <x:row r="111" ht="222" customHeight="1">
      <x:c r="A111" s="18" t="str">
        <x:v>1: C1</x:v>
      </x:c>
      <x:c r="B111" s="18" t="str">
        <x:v>status: 規格/MPN未完整
unit_price: 2
source: NTHU_TEST_BOARD_BOM.docx vendor table row 1
source_ids: ["vendor_BOM","schematic"]
per_reference: [{"reference":"C1","purpose_zh":"U2 OUT 系統供電節點至 GND 的去耦／緩衝電容。","purpose_en":"Decoupling/buffering between the U2 OUT system-supply node and ground.","location_zh":"原理圖第 1 頁：充電／電源路徑","location_en":"Schematic page 1: charger / power path","page":1}]
orderability: incomplete_passive_specification
details: {"spec_zh":"原廠 BOM 與原理圖皆未填容值。","spec_en":"No capacitance is given in the vendor BOM or schematic.","purpose_zh":"C1: U2 OUT 系統供電節點至 GND 的去耦／緩衝電容。","purpose_en":"C1: Decoupling/buffering between the U2 OUT system-supply node and ground.","missing_zh":"廠牌／完整料號、封裝尺寸與高度、耐壓、容差、介電材質／型式尚未提供；電源電容需另核對有效容值、ESR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</x:v>
      </x:c>
      <x:c r="C111" s="18" t="str">
        <x:v>原供應商／來源欄位；採用 PCB 工作表的現行估值與待確認規格。</x:v>
      </x:c>
    </x:row>
    <x:row r="112" ht="222" customHeight="1">
      <x:c r="A112" s="18" t="str">
        <x:v>2: C2</x:v>
      </x:c>
      <x:c r="B112" s="18" t="str">
        <x:v>status: 規格/MPN未完整
unit_price: 2
source: NTHU_TEST_BOARD_BOM.docx vendor table row 2
source_ids: ["vendor_BOM","schematic"]
per_reference: [{"reference":"C2","purpose_zh":"U1 Vin 升壓輸入節點至 GND 的去耦電容。","purpose_en":"Input decoupling from the U1 boost-input node to ground.","location_zh":"原理圖第 1 頁：升壓電源","location_en":"Schematic page 1: boost supply","page":1}]
orderability: incomplete_passive_specification
details: {"spec_zh":"原廠 BOM 與原理圖皆未填容值。","spec_en":"No capacitance is given in the vendor BOM or schematic.","purpose_zh":"C2: U1 Vin 升壓輸入節點至 GND 的去耦電容。","purpose_en":"C2: Input decoupling from the U1 boost-input node to ground.","missing_zh":"廠牌／完整料號、封裝尺寸與高度、耐壓、容差、介電材質／型式尚未提供；電源電容需另核對有效容值、ESR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2</x:v>
      </x:c>
      <x:c r="C112" s="18" t="str">
        <x:v>原供應商／來源欄位；採用 PCB 工作表的現行估值與待確認規格。</x:v>
      </x:c>
    </x:row>
    <x:row r="113" ht="250" customHeight="1">
      <x:c r="A113" s="18" t="str">
        <x:v>3: C3</x:v>
      </x:c>
      <x:c r="B113" s="18" t="str">
        <x:v>status: 規格/MPN未完整
unit_price: 2
source: NTHU_TEST_BOARD_BOM.docx vendor table row 3
source_ids: ["vendor_BOM","schematic"]
per_reference: [{"reference":"C3","purpose_zh":"U1 輸出、標為 5V 的節點至 GND 的濾波电容；實際設定仍取決於未提供的 R6/R8。","purpose_en":"Output filtering on the net labelled 5V; the actual setting still depends on unspecified R6/R8.","location_zh":"原理圖第 1 頁：升壓電源","location_en":"Schematic page 1: boost supply","page":1}]
orderability: incomplete_passive_specification
details: {"spec_zh":"原廠 BOM 與原理圖皆未填容值。","spec_en":"No capacitance is given in the vendor BOM or schematic.","purpose_zh":"C3: U1 輸出、標為 5V 的節點至 GND 的濾波电容；實際設定仍取決於未提供的 R6/R8。","purpose_en":"C3: Output filtering on the net labelled 5V; the actual setting still depends on unspecified R6/R8.","missing_zh":"廠牌／完整料號、封裝尺寸與高度、耐壓、容差、介電材質／型式尚未提供；電源電容需另核對有效容值、ESR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3</x:v>
      </x:c>
      <x:c r="C113" s="18" t="str">
        <x:v>原供應商／來源欄位；採用 PCB 工作表的現行估值與待確認規格。</x:v>
      </x:c>
    </x:row>
    <x:row r="114" ht="250" customHeight="1">
      <x:c r="A114" s="18" t="str">
        <x:v>4: C4</x:v>
      </x:c>
      <x:c r="B114" s="18" t="str">
        <x:v>status: 規格/MPN未完整
unit_price: 2
source: NTHU_TEST_BOARD_BOM.docx vendor table row 4
source_ids: ["vendor_BOM","schematic"]
per_reference: [{"reference":"C4","purpose_zh":"U1 輸出、標為 5V 的節點至 GND 的濾波电容；實際設定仍取決於未提供的 R6/R8。","purpose_en":"Output filtering on the net labelled 5V; the actual setting still depends on unspecified R6/R8.","location_zh":"原理圖第 1 頁：升壓電源","location_en":"Schematic page 1: boost supply","page":1}]
orderability: incomplete_passive_specification
details: {"spec_zh":"原廠 BOM 與原理圖皆未填容值。","spec_en":"No capacitance is given in the vendor BOM or schematic.","purpose_zh":"C4: U1 輸出、標為 5V 的節點至 GND 的濾波电容；實際設定仍取決於未提供的 R6/R8。","purpose_en":"C4: Output filtering on the net labelled 5V; the actual setting still depends on unspecified R6/R8.","missing_zh":"廠牌／完整料號、封裝尺寸與高度、耐壓、容差、介電材質／型式尚未提供；電源電容需另核對有效容值、ESR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4</x:v>
      </x:c>
      <x:c r="C114" s="18" t="str">
        <x:v>原供應商／來源欄位；採用 PCB 工作表的現行估值與待確認規格。</x:v>
      </x:c>
    </x:row>
    <x:row r="115" ht="250" customHeight="1">
      <x:c r="A115" s="18" t="str">
        <x:v>5: C5</x:v>
      </x:c>
      <x:c r="B115" s="18" t="str">
        <x:v>status: 規格/MPN未完整
unit_price: 2
source: NTHU_TEST_BOARD_BOM.docx vendor table row 5
source_ids: ["vendor_BOM","schematic"]
per_reference: [{"reference":"C5","purpose_zh":"U1 輸出、標為 5V 的節點至 GND 的濾波电容；實際設定仍取決於未提供的 R6/R8。","purpose_en":"Output filtering on the net labelled 5V; the actual setting still depends on unspecified R6/R8.","location_zh":"原理圖第 1 頁：升壓電源","location_en":"Schematic page 1: boost supply","page":1}]
orderability: incomplete_passive_specification
details: {"spec_zh":"原廠 BOM 與原理圖皆未填容值。","spec_en":"No capacitance is given in the vendor BOM or schematic.","purpose_zh":"C5: U1 輸出、標為 5V 的節點至 GND 的濾波电容；實際設定仍取決於未提供的 R6/R8。","purpose_en":"C5: Output filtering on the net labelled 5V; the actual setting still depends on unspecified R6/R8.","missing_zh":"廠牌／完整料號、封裝尺寸與高度、耐壓、容差、介電材質／型式尚未提供；電源電容需另核對有效容值、ESR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5</x:v>
      </x:c>
      <x:c r="C115" s="18" t="str">
        <x:v>原供應商／來源欄位；採用 PCB 工作表的現行估值與待確認規格。</x:v>
      </x:c>
    </x:row>
    <x:row r="116" ht="222" customHeight="1">
      <x:c r="A116" s="18" t="str">
        <x:v>6: C6</x:v>
      </x:c>
      <x:c r="B116" s="18" t="str">
        <x:v>status: 規格/MPN未完整
unit_price: 2
source: NTHU_TEST_BOARD_BOM.docx vendor table row 6
source_ids: ["vendor_BOM","schematic"]
per_reference: [{"reference":"C6","purpose_zh":"USB 5V_USB 至 GND 的輸入去耦電容。","purpose_en":"Input decoupling from USB 5V_USB to ground.","location_zh":"原理圖第 1 頁：USB／充電輸入","location_en":"Schematic page 1: USB / charger input","page":1}]
orderability: incomplete_passive_specification
details: {"spec_zh":"原廠 BOM 與原理圖皆未填容值。","spec_en":"No capacitance is given in the vendor BOM or schematic.","purpose_zh":"C6: USB 5V_USB 至 GND 的輸入去耦電容。","purpose_en":"C6: Input decoupling from USB 5V_USB to ground.","missing_zh":"廠牌／完整料號、封裝尺寸與高度、耐壓、容差、介電材質／型式尚未提供；電源電容需另核對有效容值、ESR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6</x:v>
      </x:c>
      <x:c r="C116" s="18" t="str">
        <x:v>原供應商／來源欄位；採用 PCB 工作表的現行估值與待確認規格。</x:v>
      </x:c>
    </x:row>
    <x:row r="117" ht="236" customHeight="1">
      <x:c r="A117" s="18" t="str">
        <x:v>7: C7</x:v>
      </x:c>
      <x:c r="B117" s="18" t="str">
        <x:v>status: 規格/MPN未完整
unit_price: 2
source: NTHU_TEST_BOARD_BOM.docx vendor table row 7
source_ids: ["vendor_BOM","schematic"]
per_reference: [{"reference":"C7","purpose_zh":"U3 P1 供電節點至 GND 的去耦電容；U3 型號未提供。","purpose_en":"Decoupling from the U3 P1 supply node to ground; U3 is unidentified.","location_zh":"原理圖第 1 頁：U3 電源控制周邊","location_en":"Schematic page 1: U3 power-control circuitry","page":1}]
orderability: incomplete_passive_specification
details: {"spec_zh":"原廠 BOM 與原理圖皆未填容值。","spec_en":"No capacitance is given in the vendor BOM or schematic.","purpose_zh":"C7: U3 P1 供電節點至 GND 的去耦電容；U3 型號未提供。","purpose_en":"C7: Decoupling from the U3 P1 supply node to ground; U3 is unidentified.","missing_zh":"廠牌／完整料號、封裝尺寸與高度、耐壓、容差、介電材質／型式尚未提供；電源電容需另核對有效容值、ESR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7</x:v>
      </x:c>
      <x:c r="C117" s="18" t="str">
        <x:v>原供應商／來源欄位；採用 PCB 工作表的現行估值與待確認規格。</x:v>
      </x:c>
    </x:row>
    <x:row r="118" ht="222" customHeight="1">
      <x:c r="A118" s="18" t="str">
        <x:v>8: C8</x:v>
      </x:c>
      <x:c r="B118" s="18" t="str">
        <x:v>status: 規格/MPN未完整
unit_price: 2
source: NTHU_TEST_BOARD_BOM.docx vendor table row 8
source_ids: ["vendor_BOM","schematic"]
per_reference: [{"reference":"C8","purpose_zh":"U2 BAT／J1 電池正端節點至 GND 的電容。","purpose_en":"Capacitor from the U2 BAT / J1 battery-positive node to ground.","location_zh":"原理圖第 1 頁：電池／充電","location_en":"Schematic page 1: battery / charger","page":1}]
orderability: incomplete_passive_specification
details: {"spec_zh":"原廠 BOM 與原理圖皆未填容值。","spec_en":"No capacitance is given in the vendor BOM or schematic.","purpose_zh":"C8: U2 BAT／J1 電池正端節點至 GND 的電容。","purpose_en":"C8: Capacitor from the U2 BAT / J1 battery-positive node to ground.","missing_zh":"廠牌／完整料號、封裝尺寸與高度、耐壓、容差、介電材質／型式尚未提供；電源電容需另核對有效容值、ESR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8</x:v>
      </x:c>
      <x:c r="C118" s="18" t="str">
        <x:v>原供應商／來源欄位；採用 PCB 工作表的現行估值與待確認規格。</x:v>
      </x:c>
    </x:row>
    <x:row r="119" ht="250" customHeight="1">
      <x:c r="A119" s="18" t="str">
        <x:v>9: C9</x:v>
      </x:c>
      <x:c r="B119" s="18" t="str">
        <x:v>status: 規格/MPN未完整
unit_price: 2
source: NTHU_TEST_BOARD_BOM.docx vendor table row 9
source_ids: ["vendor_BOM","schematic"]
per_reference: [{"reference":"C9","purpose_zh":"R10/R12 分壓中點、U3 P2 至 GND 的濾波電容；具體控制功能待 U3 型號確認。","purpose_en":"Filtering from the R10/R12 divider midpoint / U3 P2 to ground; control function requires the U3 identity.","location_zh":"原理圖第 1 頁：U3 電源控制周邊","location_en":"Schematic page 1: U3 power-control circuitry","page":1}]
orderability: incomplete_passive_specification
details: {"spec_zh":"原廠 BOM 與原理圖皆未填容值。","spec_en":"No capacitance is given in the vendor BOM or schematic.","purpose_zh":"C9: R10/R12 分壓中點、U3 P2 至 GND 的濾波電容；具體控制功能待 U3 型號確認。","purpose_en":"C9: Filtering from the R10/R12 divider midpoint / U3 P2 to ground; control function requires the U3 identity.","missing_zh":"廠牌／完整料號、封裝尺寸與高度、耐壓、容差、介電材質／型式尚未提供；電源電容需另核對有效容值、ESR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9</x:v>
      </x:c>
      <x:c r="C119" s="18" t="str">
        <x:v>原供應商／來源欄位；採用 PCB 工作表的現行估值與待確認規格。</x:v>
      </x:c>
    </x:row>
    <x:row r="120" ht="250" customHeight="1">
      <x:c r="A120" s="18" t="str">
        <x:v>10: C10</x:v>
      </x:c>
      <x:c r="B120" s="18" t="str">
        <x:v>status: 規格/MPN未完整
unit_price: 2
source: NTHU_TEST_BOARD_BOM.docx vendor table row 10
source_ids: ["vendor_BOM","schematic"]
per_reference: [{"reference":"C10","purpose_zh":"U3 P6 至 GND；U3 型號未提供，不能確定其定時／補償等具體功能。","purpose_en":"Connected from U3 P6 to ground; timing/compensation or other function cannot be assigned without its identity.","location_zh":"原理圖第 1 頁：U3 電源控制周邊","location_en":"Schematic page 1: U3 power-control circuitry","page":1}]
orderability: incomplete_passive_specification
details: {"spec_zh":"原廠 BOM 與原理圖皆未填容值。","spec_en":"No capacitance is given in the vendor BOM or schematic.","purpose_zh":"C10: U3 P6 至 GND；U3 型號未提供，不能確定其定時／補償等具體功能。","purpose_en":"C10: Connected from U3 P6 to ground; timing/compensation or other function cannot be assigned without its identity.","missing_zh":"廠牌／完整料號、封裝尺寸與高度、耐壓、容差、介電材質／型式尚未提供；電源電容需另核對有效容值、ESR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10</x:v>
      </x:c>
      <x:c r="C120" s="18" t="str">
        <x:v>原供應商／來源欄位；採用 PCB 工作表的現行估值與待確認規格。</x:v>
      </x:c>
    </x:row>
    <x:row r="121" ht="250" customHeight="1">
      <x:c r="A121" s="18" t="str">
        <x:v>11: C11</x:v>
      </x:c>
      <x:c r="B121" s="18" t="str">
        <x:v>status: 規格/MPN未完整
unit_price: 2
source: NTHU_TEST_BOARD_BOM.docx vendor table row 11
source_ids: ["vendor_BOM","schematic"]
per_reference: [{"reference":"C11","purpose_zh":"U3 P4 至 GND；U3 型號未提供，不能確定其定時／補償等具體功能。","purpose_en":"Connected from U3 P4 to ground; timing/compensation or other function cannot be assigned without its identity.","location_zh":"原理圖第 1 頁：U3 電源控制周邊","location_en":"Schematic page 1: U3 power-control circuitry","page":1}]
orderability: incomplete_passive_specification
details: {"spec_zh":"原廠 BOM 與原理圖皆未填容值。","spec_en":"No capacitance is given in the vendor BOM or schematic.","purpose_zh":"C11: U3 P4 至 GND；U3 型號未提供，不能確定其定時／補償等具體功能。","purpose_en":"C11: Connected from U3 P4 to ground; timing/compensation or other function cannot be assigned without its identity.","missing_zh":"廠牌／完整料號、封裝尺寸與高度、耐壓、容差、介電材質／型式尚未提供；電源電容需另核對有效容值、ESR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11</x:v>
      </x:c>
      <x:c r="C121" s="18" t="str">
        <x:v>原供應商／來源欄位；採用 PCB 工作表的現行估值與待確認規格。</x:v>
      </x:c>
    </x:row>
    <x:row r="122" ht="222" customHeight="1">
      <x:c r="A122" s="18" t="str">
        <x:v>12: C12</x:v>
      </x:c>
      <x:c r="B122" s="18" t="str">
        <x:v>status: 依廠商BOM，封裝/容差仍需確認
unit_price: 15
source: NTHU_TEST_BOARD_BOM.docx vendor table row 12
source_ids: ["vendor_BOM","schematic"]
per_reference: [{"reference":"C12","purpose_zh":"LED 區 5V 至 GND 的局部儲能電容；原圖有極性符號。","purpose_en":"Local bulk capacitor between LED 5V and ground; the schematic uses a polarized symbol.","location_zh":"原理圖第 2 頁：LEDs","location_en":"Schematic page 2: LEDs","page":2}]
orderability: incomplete_passive_specification
details: {"spec_zh":"原廠標稱容值 47uF。","spec_en":"Vendor nominal capacitance: 47uF.","purpose_zh":"C12: LED 區 5V 至 GND 的局部儲能電容；原圖有極性符號。","purpose_en":"C12: Local bulk capacitor between LED 5V and ground; the schematic uses a polarized symbol.","missing_zh":"廠牌／完整料號、封裝尺寸與高度、耐壓、容差、介電材質／型式尚未提供；電源電容需另核對有效容值、ESR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12</x:v>
      </x:c>
      <x:c r="C122" s="18" t="str">
        <x:v>原供應商／來源欄位；採用 PCB 工作表的現行估值與待確認規格。</x:v>
      </x:c>
    </x:row>
    <x:row r="123" ht="236" customHeight="1">
      <x:c r="A123" s="18" t="str">
        <x:v>13: C13,C18</x:v>
      </x:c>
      <x:c r="B123" s="18" t="str">
        <x:v>status: 依廠商BOM，封裝/容差仍需確認
unit_price: 8
source: NTHU_TEST_BOARD_BOM.docx vendor table row 13
source_ids: ["vendor_BOM","schematic"]
per_reference: [{"reference":"C13","purpose_zh":"ESP32 3V3_DIG 供電去耦。","purpose_en":"ESP32 3V3_DIG supply decoupling.","location_zh":"原理圖第 2 頁：ESP32","location_en":"Schematic page 2: ESP32","page":2},{"reference":"C18","purpose_zh":"U5 的 3V3_DIG 輸出電容。","purpose_en":"U5 3V3_DIG output capacitor.","location_zh":"原理圖第 2 頁：3V3 LDO","location_en":"Schematic page 2: 3V3 LDO","page":2}]
orderability: incomplete_passive_specification
details: {"spec_zh":"原廠標稱容值 22uF。","spec_en":"Vendor nominal capacitance: 22uF.","purpose_zh":"C13: ESP32 3V3_DIG 供電去耦。；C18: U5 的 3V3_DIG 輸出電容。","purpose_en":"C13: ESP32 3V3_DIG supply decoupling.；C18: U5 3V3_DIG output capacitor.","missing_zh":"廠牌／完整料號、封裝尺寸與高度、耐壓、容差、介電材質／型式尚未提供；電源電容需另核對有效容值、ESR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13</x:v>
      </x:c>
      <x:c r="C123" s="18" t="str">
        <x:v>原供應商／來源欄位；採用 PCB 工作表的現行估值與待確認規格。</x:v>
      </x:c>
    </x:row>
    <x:row r="124" ht="194" customHeight="1">
      <x:c r="A124" s="18" t="str">
        <x:v>14: C14,C15,C22,C25</x:v>
      </x:c>
      <x:c r="B124" s="18" t="str">
        <x:v>status: 依廠商BOM，封裝/容差仍需確認
unit_price: 2
source: NTHU_TEST_BOARD_BOM.docx vendor table row 14
source_ids: ["vendor_BOM","schematic"]
per_reference: [{"reference":"C14","purpose_zh":"ESP32 3V3_DIG 供電去耦。","purpose_en":"ESP32 3V3_DIG supply decoupling.","location_zh":"原理圖第 2 頁：ESP32","location_en":"Schematic page 2: ESP32","page":2},{"reference":"C15","purpose_zh":"跨接 SW2 的 ESP_EN 至 GND，屬復位／啟用節點電容。","purpose_en":"ESP_EN-to-ground capacitor across SW2 in the reset/enable network.","location_zh":"原理圖第 2 頁：ESP32 復位","location_en":"Schematic page 2: ESP32 reset","page":2},{"reference":"C22","purpose_zh":"U7 的 3V3_ANA 輸入去耦。","purpose_en":"U7 3V3_ANA input decoupling.","location_zh":"原理圖第 2 頁：2V5_REF","location_en":"Schematic page 2: 2V5_REF","page":2},{"reference":"C25","purpose_zh":"R31 後方 U8 局部供電至 GND 的電容，與 R31 構成供電濾波。C26 原圖有極性符號。","purpose_en":"Capacitors from the U8 local supply after R31 to ground, forming supply filtering with R31. C26 has a polarized</x:v>
      </x:c>
      <x:c r="C124" s="18" t="str">
        <x:v>原供應商／來源欄位；採用 PCB 工作表的現行估值與待確認規格。</x:v>
      </x:c>
    </x:row>
    <x:row r="125" ht="208" customHeight="1">
      <x:c r="A125" s="18" t="str">
        <x:v>14: C14,C15,C22,C25 （續）</x:v>
      </x:c>
      <x:c r="B125" s="18" t="str">
        <x:v> symbol.","location_zh":"原理圖第 2 頁：TIA 供電","location_en":"Schematic page 2: TIA supply","page":2}]
orderability: incomplete_passive_specification
details: {"spec_zh":"原廠標稱容值 0.1uF。","spec_en":"Vendor nominal capacitance: 0.1uF.","purpose_zh":"C14: ESP32 3V3_DIG 供電去耦。；C15: 跨接 SW2 的 ESP_EN 至 GND，屬復位／啟用節點電容。；C22: U7 的 3V3_ANA 輸入去耦。；C25: R31 後方 U8 局部供電至 GND 的電容，與 R31 構成供電濾波。C26 原圖有極性符號。","purpose_en":"C14: ESP32 3V3_DIG supply decoupling.；C15: ESP_EN-to-ground capacitor across SW2 in the reset/enable network.；C22: U7 3V3_ANA input decoupling.；C25: Capacitors from the U8 local supply after R31 to ground, forming supply filtering with R31. C26 has a polarized symbol.","missing_zh":"廠牌／完整料號、封裝尺寸與高度、耐壓、容差、介電材質／型式尚未提供；電源電容需另核對有效容值、ESR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14</x:v>
      </x:c>
      <x:c r="C125" s="18" t="str"/>
    </x:row>
    <x:row r="126" ht="194" customHeight="1">
      <x:c r="A126" s="18" t="str">
        <x:v>15: C16,C17,C23,C28</x:v>
      </x:c>
      <x:c r="B126" s="18" t="str">
        <x:v>status: 依廠商BOM，封裝/容差仍需確認
unit_price: 8
source: NTHU_TEST_BOARD_BOM.docx vendor table row 15
source_ids: ["vendor_BOM","schematic"]
per_reference: [{"reference":"C16","purpose_zh":"ESP_EN 至 GND，與 R15 構成啟用／復位 RC 網路。","purpose_en":"ESP_EN-to-ground capacitor forming the enable/reset RC network with R15.","location_zh":"原理圖第 2 頁：ESP32 復位","location_en":"Schematic page 2: ESP32 reset","page":2},{"reference":"C17","purpose_zh":"U5 的 5V 輸入去耦。","purpose_en":"U5 5V input decoupling.","location_zh":"原理圖第 2 頁：3V3 LDO","location_en":"Schematic page 2: 3V3 LDO","page":2},{"reference":"C23","purpose_zh":"U7 VREF_2V5 輸出電容。","purpose_en":"U7 VREF_2V5 output capacitor.","location_zh":"原理圖第 2 頁：2V5_REF","location_en":"Schematic page 2: 2V5_REF","page":2},{"reference":"C28","purpose_zh":"與 R34 串聯，形成 VREF_2V5 至 GND 的參考電壓旁路支路。","purpose_en":"In series with R34 in a VREF_2V5-to-ground reference-bypass</x:v>
      </x:c>
      <x:c r="C126" s="18" t="str">
        <x:v>原供應商／來源欄位；採用 PCB 工作表的現行估值與待確認規格。</x:v>
      </x:c>
    </x:row>
    <x:row r="127" ht="194" customHeight="1">
      <x:c r="A127" s="18" t="str">
        <x:v>15: C16,C17,C23,C28 （續）</x:v>
      </x:c>
      <x:c r="B127" s="18" t="str">
        <x:v> branch.","location_zh":"原理圖第 2 頁：ADC 參考","location_en":"Schematic page 2: ADC reference","page":2}]
orderability: incomplete_passive_specification
details: {"spec_zh":"原廠標稱容值 10uF。","spec_en":"Vendor nominal capacitance: 10uF.","purpose_zh":"C16: ESP_EN 至 GND，與 R15 構成啟用／復位 RC 網路。；C17: U5 的 5V 輸入去耦。；C23: U7 VREF_2V5 輸出電容。；C28: 與 R34 串聯，形成 VREF_2V5 至 GND 的參考電壓旁路支路。","purpose_en":"C16: ESP_EN-to-ground capacitor forming the enable/reset RC network with R15.；C17: U5 5V input decoupling.；C23: U7 VREF_2V5 output capacitor.；C28: In series with R34 in a VREF_2V5-to-ground reference-bypass branch.","missing_zh":"廠牌／完整料號、封裝尺寸與高度、耐壓、容差、介電材質／型式尚未提供；電源電容需另核對有效容值、ESR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15</x:v>
      </x:c>
      <x:c r="C127" s="18" t="str"/>
    </x:row>
    <x:row r="128" ht="166" customHeight="1">
      <x:c r="A128" s="18" t="str">
        <x:v>16: C19,C20,C27,C29</x:v>
      </x:c>
      <x:c r="B128" s="18" t="str">
        <x:v>status: 依廠商BOM，封裝/容差仍需確認
unit_price: 2
source: NTHU_TEST_BOARD_BOM.docx vendor table row 16
source_ids: ["vendor_BOM","schematic"]
per_reference: [{"reference":"C19","purpose_zh":"U6 的 5V 輸入去耦。","purpose_en":"U6 5V input decoupling.","location_zh":"原理圖第 2 頁：3V3 LDO","location_en":"Schematic page 2: 3V3 LDO","page":2},{"reference":"C20","purpose_zh":"U6 的 3V3_ANA 輸出電容。","purpose_en":"U6 3V3_ANA output capacitor.","location_zh":"原理圖第 2 頁：3V3 LDO","location_en":"Schematic page 2: 3V3 LDO","page":2},{"reference":"C27","purpose_zh":"U9 DVDD／3V3_DIG 供電去耦。","purpose_en":"U9 DVDD / 3V3_DIG decoupling.","location_zh":"原理圖第 2 頁：ADC","location_en":"Schematic page 2: ADC","page":2},{"reference":"C29","purpose_zh":"U9 AVDD／3V3_ANA 供電去耦。","purpose_en":"U9 AVDD / 3V3_ANA</x:v>
      </x:c>
      <x:c r="C128" s="18" t="str">
        <x:v>原供應商／來源欄位；採用 PCB 工作表的現行估值與待確認規格。</x:v>
      </x:c>
    </x:row>
    <x:row r="129" ht="152" customHeight="1">
      <x:c r="A129" s="18" t="str">
        <x:v>16: C19,C20,C27,C29 （續）</x:v>
      </x:c>
      <x:c r="B129" s="18" t="str">
        <x:v> decoupling.","location_zh":"原理圖第 2 頁：ADC","location_en":"Schematic page 2: ADC","page":2}]
orderability: incomplete_passive_specification
details: {"spec_zh":"原廠標稱容值 1uF。","spec_en":"Vendor nominal capacitance: 1uF.","purpose_zh":"C19: U6 的 5V 輸入去耦。；C20: U6 的 3V3_ANA 輸出電容。；C27: U9 DVDD／3V3_DIG 供電去耦。；C29: U9 AVDD／3V3_ANA 供電去耦。","purpose_en":"C19: U6 5V input decoupling.；C20: U6 3V3_ANA output capacitor.；C27: U9 DVDD / 3V3_DIG decoupling.；C29: U9 AVDD / 3V3_ANA decoupling.","missing_zh":"廠牌／完整料號、封裝尺寸與高度、耐壓、容差、介電材質／型式尚未提供；電源電容需另核對有效容值、ESR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16</x:v>
      </x:c>
      <x:c r="C129" s="18" t="str"/>
    </x:row>
    <x:row r="130" ht="278" customHeight="1">
      <x:c r="A130" s="18" t="str">
        <x:v>17: C21</x:v>
      </x:c>
      <x:c r="B130" s="18" t="str">
        <x:v>status: 依廠商BOM，封裝/容差仍需確認
unit_price: 2
source: NTHU_TEST_BOARD_BOM.docx vendor table row 17
source_ids: ["vendor_BOM","schematic"]
per_reference: [{"reference":"C21","purpose_zh":"與 R27 並聯，從 U8 輸出回授至反相輸入；影響跨阻放大器補償與頻寬。","purpose_en":"In parallel with R27 from U8 output to its inverting input; affects transimpedance compensation and bandwidth.","location_zh":"原理圖第 2 頁：TIA","location_en":"Schematic page 2: TIA","page":2}]
orderability: incomplete_passive_specification
details: {"spec_zh":"原廠標稱容值 2.2pF。","spec_en":"Vendor nominal capacitance: 2.2pF.","purpose_zh":"C21: 與 R27 並聯，從 U8 輸出回授至反相輸入；影響跨阻放大器補償與頻寬。","purpose_en":"C21: In parallel with R27 from U8 output to its inverting input; affects transimpedance compensation and bandwidth.","missing_zh":"廠牌／完整料號、封裝尺寸與高度、耐壓、容差、介電材質／型式尚未提供；電源電容需另核對有效容值、ESR 與穩定性要求。 2.2 pF 為小訊號回授值，焊墊／走線寄生不可忽略；低漏電與合適介電材質須廠商選定。","missing_en":"Manufacturer/orderable MPN, case dimensions/height, voltage rating, tolerance and dielectric/type are not supplied; power capacitors also require effective-capacitance, ESR and stability checks. At 2.2 pF, pad/trace parasitics matter; the vendor must select suitable low-leakage construction/dielectric."}
original_source: NTHU_TEST_BOARD_BOM.docx vendor table row 17</x:v>
      </x:c>
      <x:c r="C130" s="18" t="str">
        <x:v>原供應商／來源欄位；採用 PCB 工作表的現行估值與待確認規格。</x:v>
      </x:c>
    </x:row>
    <x:row r="131" ht="236" customHeight="1">
      <x:c r="A131" s="18" t="str">
        <x:v>18: C24</x:v>
      </x:c>
      <x:c r="B131" s="18" t="str">
        <x:v>status: 依廠商BOM，封裝/容差仍需確認
unit_price: 2
source: NTHU_TEST_BOARD_BOM.docx vendor table row 18
source_ids: ["vendor_BOM","schematic"]
per_reference: [{"reference":"C24","purpose_zh":"跨 ADC_AINP 與 ADC_AINN，與 R29/R36 形成 ADC 輸入濾波網路。","purpose_en":"Across ADC_AINP and ADC_AINN, part of the ADC-input filtering network with R29/R36.","location_zh":"原理圖第 2 頁：TIA／ADC","location_en":"Schematic page 2: TIA / ADC","page":2}]
orderability: incomplete_passive_specification
details: {"spec_zh":"原廠標稱容值 1000pF。","spec_en":"Vendor nominal capacitance: 1000pF.","purpose_zh":"C24: 跨 ADC_AINP 與 ADC_AINN，與 R29/R36 形成 ADC 輸入濾波網路。","purpose_en":"C24: Across ADC_AINP and ADC_AINN, part of the ADC-input filtering network with R29/R36.","missing_zh":"廠牌／完整料號、封裝尺寸與高度、耐壓、容差、介電材質／型式尚未提供；電源電容需另核對有效容值、ESR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18</x:v>
      </x:c>
      <x:c r="C131" s="18" t="str">
        <x:v>原供應商／來源欄位；採用 PCB 工作表的現行估值與待確認規格。</x:v>
      </x:c>
    </x:row>
    <x:row r="132" ht="250" customHeight="1">
      <x:c r="A132" s="18" t="str">
        <x:v>19: C26</x:v>
      </x:c>
      <x:c r="B132" s="18" t="str">
        <x:v>status: 依廠商BOM，封裝/容差仍需確認
unit_price: 15
source: NTHU_TEST_BOARD_BOM.docx vendor table row 19
source_ids: ["vendor_BOM","schematic"]
per_reference: [{"reference":"C26","purpose_zh":"R31 後方 U8 局部供電至 GND 的電容，與 R31 構成供電濾波。C26 原圖有極性符號。","purpose_en":"Capacitors from the U8 local supply after R31 to ground, forming supply filtering with R31. C26 has a polarized symbol.","location_zh":"原理圖第 2 頁：TIA 供電","location_en":"Schematic page 2: TIA supply","page":2}]
orderability: incomplete_passive_specification
details: {"spec_zh":"原廠標稱容值 100uF。","spec_en":"Vendor nominal capacitance: 100uF.","purpose_zh":"C26: R31 後方 U8 局部供電至 GND 的電容，與 R31 構成供電濾波。C26 原圖有極性符號。","purpose_en":"C26: Capacitors from the U8 local supply after R31 to ground, forming supply filtering with R31. C26 has a polarized symbol.","missing_zh":"廠牌／完整料號、封裝尺寸與高度、耐壓、容差、介電材質／型式尚未提供；電源電容需另核對有效容值、ESR 與穩定性要求。","missing_en":"Manufacturer/orderable MPN, case dimensions/height, voltage rating, tolerance and dielectric/type are not supplied; power capacitors also require effective-capacitance, ESR and stability checks."}
original_source: NTHU_TEST_BOARD_BOM.docx vendor table row 19</x:v>
      </x:c>
      <x:c r="C132" s="18" t="str">
        <x:v>原供應商／來源欄位；採用 PCB 工作表的現行估值與待確認規格。</x:v>
      </x:c>
    </x:row>
    <x:row r="133" ht="180" customHeight="1">
      <x:c r="A133" s="18" t="str">
        <x:v>20: DPS1,DPS2</x:v>
      </x:c>
      <x:c r="B133" s="18" t="str">
        <x:v>status: 規格/MPN未完整
unit_price: 2
source: NTHU_TEST_BOARD_BOM.docx vendor table row 20
source_ids: ["vendor_BOM","schematic"]
per_reference: []
orderability: incomplete_component_specification
details: {"spec_zh":"僅標示 LED；共 2 顆。","spec_en":"Only identified as LED; two devices.","purpose_zh":"DPS1 接 U2 PGOOD、配 R5；DPS2 接 U2 CHG、配 R7，顯示電源／充電狀態。","purpose_en":"DPS1 is connected to U2 PGOOD via R5; DPS2 to U2 CHG via R7 for power/charging status.","missing_zh":"顏色、廠牌／MPN、封裝尺寸／高度、順向電壓／電流與亮度均未提供。","missing_en":"Color, manufacturer/MPN, package size/height, forward voltage/current and brightness are not supplied."}
original_source: NTHU_TEST_BOARD_BOM.docx vendor table row 20</x:v>
      </x:c>
      <x:c r="C133" s="18" t="str">
        <x:v>原供應商／來源欄位；採用 PCB 工作表的現行估值與待確認規格。</x:v>
      </x:c>
    </x:row>
    <x:row r="134" ht="236" customHeight="1">
      <x:c r="A134" s="18" t="str">
        <x:v>21: D1,D2,D3,D4</x:v>
      </x:c>
      <x:c r="B134" s="18" t="str">
        <x:v>status: 依廠商BOM，封裝/容差仍需確認
unit_price: 17
source: NTHU_TEST_BOARD_BOM.docx vendor table row 21
source_ids: ["vendor_BOM","schematic","WURTH_LED"]
per_reference: []
orderability: identified_part_pending_assembly_verification
details: {"spec_zh":"Würth Elektronik 155124BS73200；1204 側發光 SMD；資料表在 20 mA 下典型峰值 468 nm／主波長 470 nm、視角 120°。","spec_en":"Würth Elektronik 155124BS73200; 1204 side-view SMD; datasheet at 20 mA gives typical peak 468 nm / dominant wavelength 470 nm and 120° viewing angle.","purpose_zh":"D1–D4 由 Q1–Q4 低側開關調變；各有 100 Ω 串聯電阻。GPIO25/26/27/32 對應 LED1/2/3/4。","purpose_en":"D1–D4 are modulated by low-side switches Q1–Q4 with individual 100 Ω series resistors. GPIO25/26/27/32 map to LED1/2/3/4.","missing_zh":"須核對實際焊接方向／高度、光學軸與 well 對位、實際電流及光功率；20 mA 是資料表測試條件，非已驗證板上電流。","missing_en":"Verify assembled orientation/height, optical-axis alignment to wells, operating current and optical power; 20 mA is a datasheet test condition, not a verified board current."}
original_source: NTHU_TEST_BOARD_BOM.docx vendor table row 21</x:v>
      </x:c>
      <x:c r="C134" s="18" t="str">
        <x:v>原供應商／來源欄位；採用 PCB 工作表的現行估值與待確認規格。</x:v>
      </x:c>
    </x:row>
    <x:row r="135" ht="236" customHeight="1">
      <x:c r="A135" s="18" t="str">
        <x:v>22: D5</x:v>
      </x:c>
      <x:c r="B135" s="18" t="str">
        <x:v>status: 依廠商BOM，封裝/容差仍需確認
unit_price: 68
source: NTHU_TEST_BOARD_BOM.docx vendor table row 22
source_ids: ["vendor_BOM","schematic","VISHAY_PD"]
per_reference: []
orderability: identified_part_pending_assembly_verification
details: {"spec_zh":"Vishay VEMD5060X01；頂視 SMD，外形 5×4×0.9 mm；感光面積 7.5 mm²；可見光至近紅外感測。","spec_en":"Vishay VEMD5060X01; top-view SMD, 5×4×0.9 mm body; 7.5 mm² photosensitive area; visible-to-near-infrared response.","purpose_zh":"D5 是四井共用 PD；陰極連 PD_SUM／U8 反相輸入，陽極接 GND。藍光與綠光皆可被接收，必須搭配光學濾波與空白校正。","purpose_en":"D5 is the single PD shared by four wells; cathode to PD_SUM / U8 inverting input and anode to ground. It detects both blue and green light, requiring optical filtering and blank correction.","missing_zh":"實際感光區中心與封裝中心不可混同；裝配座標、濾片／墊圈遮擋與角度接受度须核對。廠商需確認最終訂購後綴及來料。","missing_en":"Do not equate the active-area center with the package center; verify assembly coordinates, filter/gasket obscuration and angular acceptance. Confirm final order suffix and supplied part."}
original_source: NTHU_TEST_BOARD_BOM.docx vendor table row 22</x:v>
      </x:c>
      <x:c r="C135" s="18" t="str">
        <x:v>原供應商／來源欄位；採用 PCB 工作表的現行估值與待確認規格。</x:v>
      </x:c>
    </x:row>
    <x:row r="136" ht="180" customHeight="1">
      <x:c r="A136" s="18" t="str">
        <x:v>23: FD1,FD2,FD3,FD4,FD5,FD6,FD
7,FD8</x:v>
      </x:c>
      <x:c r="B136" s="18" t="str">
        <x:v>status: PCB fiducial，不是採購元件
unit_price: 0
source: NTHU_TEST_BOARD_BOM.docx vendor table row 23
source_ids: ["vendor_BOM","schematic"]
per_reference: []
orderability: PCB_feature_not_separate_purchase
details: {"spec_zh":"FD_040；8 個定位標記。","spec_en":"FD_040; eight fiducials.","purpose_zh":"供 SMT 視覺定位，不是額外焊接的 LED 或感測器。","purpose_en":"Provide vision alignment for SMT assembly; these are not separate LEDs or sensors.","missing_zh":"銅面／阻焊開窗與定位尺寸由製板資料確認；不另購零件。","missing_en":"Confirm copper/solder-mask geometry in fabrication data; do not purchase separate components."}
original_source: NTHU_TEST_BOARD_BOM.docx vendor table row 23</x:v>
      </x:c>
      <x:c r="C136" s="18" t="str">
        <x:v>原供應商／來源欄位；採用 PCB 工作表的現行估值與待確認規格。</x:v>
      </x:c>
    </x:row>
    <x:row r="137" ht="194" customHeight="1">
      <x:c r="A137" s="18" t="str">
        <x:v>24: H1,H2,H3,H4</x:v>
      </x:c>
      <x:c r="B137" s="18" t="str">
        <x:v>status: PCB孔位，不另當电子零件買
unit_price: 0
source: NTHU_TEST_BOARD_BOM.docx vendor table row 24
source_ids: ["vendor_BOM","schematic"]
per_reference: []
orderability: PCB_feature_not_separate_purchase
details: {"spec_zh":"H1–H4；原廠標示 CON(銅柱孔)。","spec_en":"H1–H4; vendor label CON (standoff holes).","purpose_zh":"PCB 機械固定孔，不是電子連接器；額外螺絲／螺帽見其他材料表，勿重複計價。","purpose_en":"Mechanical PCB fixing holes, not electrical connectors; screws/nuts are listed in the separate materials BOM and must not be counted twice.","missing_zh":"孔徑、鍍孔／非鍍孔、銅箔避讓與裝配間隙須依製板圖／實板確認；本列未指定螺絲尺寸。","missing_en":"Verify diameter, plated/non-plated status, copper keepout and clearance from fabrication drawings/board; this row does not specify a screw size."}
original_source: NTHU_TEST_BOARD_BOM.docx vendor table row 24</x:v>
      </x:c>
      <x:c r="C137" s="18" t="str">
        <x:v>原供應商／來源欄位；採用 PCB 工作表的現行估值與待確認規格。</x:v>
      </x:c>
    </x:row>
    <x:row r="138" ht="222" customHeight="1">
      <x:c r="A138" s="18" t="str">
        <x:v>25: J1</x:v>
      </x:c>
      <x:c r="B138" s="18" t="str">
        <x:v>status: 規格/MPN未完整
unit_price: 30
source: NTHU_TEST_BOARD_BOM.docx vendor table row 25
source_ids: ["vendor_BOM","schematic","TI_BQ24074"]
per_reference: []
orderability: incomplete_component_specification
details: {"spec_zh":"原廠僅標 Battery_Case；原圖腳1接 BAT，腳2接 GND。","spec_en":"Only Battery_Case is specified; schematic pin 1 connects to BAT and pin 2 to ground.","purpose_zh":"接 U2 BQ24074 單節鋰離子／鋰聚合物 4.2 V 充電架構；不能由此推定為 18650 電池座。","purpose_en":"Connects to the BQ24074 single-cell Li-ion/Li-poly 4.2 V charging architecture; this does not establish an 18650 holder.","missing_zh":"完整MPN、電池尺寸／化學與保護配置、極性標記、安裝孔與含電池高度、額定電流未完整提供；R1–R3/R9 亦未定，先請廠商確認。","missing_en":"MPN, cell size/chemistry/protection, polarity marking, mounting and height with cell, and current rating are incomplete; R1–R3/R9 are also unspecified. Obtain vendor confirmation first."}
original_source: NTHU_TEST_BOARD_BOM.docx vendor table row 25</x:v>
      </x:c>
      <x:c r="C138" s="18" t="str">
        <x:v>原供應商／來源欄位；採用 PCB 工作表的現行估值與待確認規格。</x:v>
      </x:c>
    </x:row>
    <x:row r="139" ht="208" customHeight="1">
      <x:c r="A139" s="18" t="str">
        <x:v>26: J2</x:v>
      </x:c>
      <x:c r="B139" s="18" t="str">
        <x:v>status: 規格/MPN未完整
unit_price: 20
source: NTHU_TEST_BOARD_BOM.docx vendor table row 26
source_ids: ["vendor_BOM","schematic"]
per_reference: []
orderability: incomplete_component_specification
details: {"spec_zh":"VBUS 接 5V_USB；CC1/CC2 經 R13/R14 至 GND；資料線 D+/D− 與 SBU 未接。","spec_en":"VBUS connects to 5V_USB; CC1/CC2 connect through R13/R14 to ground; D+/D− and SBU are unconnected.","purpose_zh":"提供電源／充電輸入，不能用此孔作原生 USB 韌體燒錄或資料傳输；J3 是 UART 介面。","purpose_en":"Power/charging input, not a native USB programming/data port; J3 provides the UART interface.","missing_zh":"完整MPN、封裝與固定腳、孔口位置／高度、額定電流未給；R13/R14 數值未給，USB-C 供電配置待確認。","missing_en":"MPN, footprint/retention tabs, opening location/height and current rating are absent; R13/R14 values are absent, so confirm USB-C power configuration."}
original_source: NTHU_TEST_BOARD_BOM.docx vendor table row 26</x:v>
      </x:c>
      <x:c r="C139" s="18" t="str">
        <x:v>原供應商／來源欄位；採用 PCB 工作表的現行估值與待確認規格。</x:v>
      </x:c>
    </x:row>
    <x:row r="140" ht="208" customHeight="1">
      <x:c r="A140" s="18" t="str">
        <x:v>27: J3</x:v>
      </x:c>
      <x:c r="B140" s="18" t="str">
        <x:v>status: 規格/MPN未完整
unit_price: 5
source: NTHU_TEST_BOARD_BOM.docx vendor table row 27
source_ids: ["vendor_BOM","schematic"]
per_reference: []
orderability: incomplete_component_specification
details: {"spec_zh":"原圖腳1=3V3_DIG、2=ESP32 TXD0、3=ESP32 RXD0、4=GND。","spec_en":"Schematic pin 1=3V3_DIG, 2=ESP32 TXD0, 3=ESP32 RXD0, 4=GND.","purpose_zh":"ESP32 3.3 V UART 燒錄／除錯介面；連接轉接器時 TX/RX 交叉且核對供電，不能將5 V邏輯直接接入。","purpose_en":"ESP32 3.3 V UART programming/debug interface; cross TX/RX and verify power wiring. Do not apply 5 V logic directly.","missing_zh":"廠牌／MPN、針距、直角／直立、針長與高度、對接線材未提供；不能自動假定2.54 mm。","missing_en":"Manufacturer/MPN, pitch, straight/right-angle form, pin length/height and mating cable are unspecified; do not automatically assume 2.54 mm."}
original_source: NTHU_TEST_BOARD_BOM.docx vendor table row 27</x:v>
      </x:c>
      <x:c r="C140" s="18" t="str">
        <x:v>原供應商／來源欄位；採用 PCB 工作表的現行估值與待確認規格。</x:v>
      </x:c>
    </x:row>
    <x:row r="141" ht="180" customHeight="1">
      <x:c r="A141" s="18" t="str">
        <x:v>28: L1</x:v>
      </x:c>
      <x:c r="B141" s="18" t="str">
        <x:v>status: 規格/MPN未完整
unit_price: 10
source: NTHU_TEST_BOARD_BOM.docx vendor table row 28
source_ids: ["vendor_BOM","schematic","TI_TPS61023"]
per_reference: []
orderability: incomplete_component_specification
details: {"spec_zh":"L1；原廠無電感值／MPN。","spec_en":"L1; inductance and MPN are absent.","purpose_zh":"跨 U1 Vin 與 SW，為 TPS61023 升壓能量儲存元件。","purpose_en":"Between U1 Vin and SW; the TPS61023 boost energy-storage element.","missing_zh":"電感值、飽和／RMS 電流、DCR、屏蔽型式、封裝／高度與完整MPN皆待廠商確認。","missing_en":"Inductance, saturation/RMS current, DCR, shielding, package/height and orderable MPN all require vendor confirmation."}
original_source: NTHU_TEST_BOARD_BOM.docx vendor table row 28</x:v>
      </x:c>
      <x:c r="C141" s="18" t="str">
        <x:v>原供應商／來源欄位；採用 PCB 工作表的現行估值與待確認規格。</x:v>
      </x:c>
    </x:row>
    <x:row r="142" ht="208" customHeight="1">
      <x:c r="A142" s="18" t="str">
        <x:v>29: Q1,Q2,Q3,Q4</x:v>
      </x:c>
      <x:c r="B142" s="18" t="str">
        <x:v>status: 依廠商BOM，封裝/容差仍需確認
unit_price: 5
source: NTHU_TEST_BOARD_BOM.docx vendor table row 29
source_ids: ["vendor_BOM","schematic","AOS_AO3400A"]
per_reference: []
orderability: identified_part_pending_assembly_verification
details: {"spec_zh":"AOS AO3400A；30 V N-MOSFET，SOT-23；資料表提供低閘極電壓導通規格。","spec_en":"AOS AO3400A; 30 V N-channel MOSFET, SOT-23; low-gate-voltage on-resistance is specified.","purpose_zh":"Q1–Q4 分別作 D1–D4 LED 低側開關；由各 LED_GATE 經串聯電阻驅動，閘極有下拉。","purpose_en":"Q1–Q4 are low-side switches for LEDs D1–D4, driven by LED_GATE through series resistors with gate pull-downs.","missing_zh":"須核對封裝焊盤／腳位、來料及實際 LED 電流／溫升；器件最大額定值不等於板上允許負載。","missing_en":"Verify footprint/pinout, supplied part and operating LED current/temperature; device maximum ratings are not allowable board-load guarantees."}
original_source: NTHU_TEST_BOARD_BOM.docx vendor table row 29</x:v>
      </x:c>
      <x:c r="C142" s="18" t="str">
        <x:v>原供應商／來源欄位；採用 PCB 工作表的現行估值與待確認規格。</x:v>
      </x:c>
    </x:row>
    <x:row r="143" ht="222" customHeight="1">
      <x:c r="A143" s="18" t="str">
        <x:v>30: R1</x:v>
      </x:c>
      <x:c r="B143" s="18" t="str">
        <x:v>status: 規格/MPN未完整
unit_price: 1
source: NTHU_TEST_BOARD_BOM.docx vendor table row 30
source_ids: ["vendor_BOM","schematic"]
per_reference: [{"reference":"R1","purpose_zh":"U2 ITERM 至 GND，設定充電終止電流。","purpose_en":"U2 ITERM-to-ground resistor setting charge-termination current.","location_zh":"原理圖第 1 頁：充電／電源路徑","location_en":"Schematic page 1: charger / power path","page":1}]
orderability: incomplete_passive_specification
details: {"spec_zh":"原廠 BOM 與原理圖皆未填阻值。","spec_en":"No resistance is given in the vendor BOM or schematic.","purpose_zh":"R1: U2 ITERM 至 GND，設定充電終止電流。","purpose_en":"R1: U2 ITERM-to-ground resistor setting charge-termination current.","missing_zh":"廠牌／完整料號、封裝尺寸與高度、功率、容差、溫度係數及最大工作電壓尚未提供。","missing_en":"Manufacturer/orderable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30</x:v>
      </x:c>
      <x:c r="C143" s="18" t="str">
        <x:v>原供應商／來源欄位；採用 PCB 工作表的現行估值與待確認規格。</x:v>
      </x:c>
    </x:row>
    <x:row r="144" ht="208" customHeight="1">
      <x:c r="A144" s="18" t="str">
        <x:v>31: R2</x:v>
      </x:c>
      <x:c r="B144" s="18" t="str">
        <x:v>status: 規格/MPN未完整
unit_price: 1
source: NTHU_TEST_BOARD_BOM.docx vendor table row 31
source_ids: ["vendor_BOM","schematic"]
per_reference: [{"reference":"R2","purpose_zh":"U2 ILIM 至 GND，設定輸入電流限制。","purpose_en":"U2 ILIM-to-ground resistor setting the input-current limit.","location_zh":"原理圖第 1 頁：充電／電源路徑","location_en":"Schematic page 1: charger / power path","page":1}]
orderability: incomplete_passive_specification
details: {"spec_zh":"原廠 BOM 與原理圖皆未填阻值。","spec_en":"No resistance is given in the vendor BOM or schematic.","purpose_zh":"R2: U2 ILIM 至 GND，設定輸入電流限制。","purpose_en":"R2: U2 ILIM-to-ground resistor setting the input-current limit.","missing_zh":"廠牌／完整料號、封裝尺寸與高度、功率、容差、溫度係數及最大工作電壓尚未提供。","missing_en":"Manufacturer/orderable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31</x:v>
      </x:c>
      <x:c r="C144" s="18" t="str">
        <x:v>原供應商／來源欄位；採用 PCB 工作表的現行估值與待確認規格。</x:v>
      </x:c>
    </x:row>
    <x:row r="145" ht="208" customHeight="1">
      <x:c r="A145" s="18" t="str">
        <x:v>32: R3</x:v>
      </x:c>
      <x:c r="B145" s="18" t="str">
        <x:v>status: 規格/MPN未完整
unit_price: 1
source: NTHU_TEST_BOARD_BOM.docx vendor table row 32
source_ids: ["vendor_BOM","schematic"]
per_reference: [{"reference":"R3","purpose_zh":"U2 ISET 至 GND，設定充電電流。","purpose_en":"U2 ISET-to-ground resistor setting charge current.","location_zh":"原理圖第 1 頁：充電／電源路徑","location_en":"Schematic page 1: charger / power path","page":1}]
orderability: incomplete_passive_specification
details: {"spec_zh":"原廠 BOM 與原理圖皆未填阻值。","spec_en":"No resistance is given in the vendor BOM or schematic.","purpose_zh":"R3: U2 ISET 至 GND，設定充電電流。","purpose_en":"R3: U2 ISET-to-ground resistor setting charge current.","missing_zh":"廠牌／完整料號、封裝尺寸與高度、功率、容差、溫度係數及最大工作電壓尚未提供。","missing_en":"Manufacturer/orderable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32</x:v>
      </x:c>
      <x:c r="C145" s="18" t="str">
        <x:v>原供應商／來源欄位；採用 PCB 工作表的現行估值與待確認規格。</x:v>
      </x:c>
    </x:row>
    <x:row r="146" ht="208" customHeight="1">
      <x:c r="A146" s="18" t="str">
        <x:v>33: R4</x:v>
      </x:c>
      <x:c r="B146" s="18" t="str">
        <x:v>status: 規格/MPN未完整
unit_price: 1
source: NTHU_TEST_BOARD_BOM.docx vendor table row 33
source_ids: ["vendor_BOM","schematic"]
per_reference: [{"reference":"R4","purpose_zh":"SW1 至 U1 EN／U3 P3 節點的串聯電阻。","purpose_en":"Series resistor from SW1 to the U1 EN / U3 P3 node.","location_zh":"原理圖第 1 頁：電源啟用","location_en":"Schematic page 1: power enable","page":1}]
orderability: incomplete_passive_specification
details: {"spec_zh":"原廠 BOM 與原理圖皆未填阻值。","spec_en":"No resistance is given in the vendor BOM or schematic.","purpose_zh":"R4: SW1 至 U1 EN／U3 P3 節點的串聯電阻。","purpose_en":"R4: Series resistor from SW1 to the U1 EN / U3 P3 node.","missing_zh":"廠牌／完整料號、封裝尺寸與高度、功率、容差、溫度係數及最大工作電壓尚未提供。","missing_en":"Manufacturer/orderable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33</x:v>
      </x:c>
      <x:c r="C146" s="18" t="str">
        <x:v>原供應商／來源欄位；採用 PCB 工作表的現行估值與待確認規格。</x:v>
      </x:c>
    </x:row>
    <x:row r="147" ht="208" customHeight="1">
      <x:c r="A147" s="18" t="str">
        <x:v>34: R5</x:v>
      </x:c>
      <x:c r="B147" s="18" t="str">
        <x:v>status: 規格/MPN未完整
unit_price: 1
source: NTHU_TEST_BOARD_BOM.docx vendor table row 34
source_ids: ["vendor_BOM","schematic"]
per_reference: [{"reference":"R5","purpose_zh":"DPS1 狀態 LED 的串聯限流電阻。","purpose_en":"Series current-limiting resistor for the DPS1 status LED.","location_zh":"原理圖第 1 頁：充電狀態顯示","location_en":"Schematic page 1: charger status","page":1}]
orderability: incomplete_passive_specification
details: {"spec_zh":"原廠 BOM 與原理圖皆未填阻值。","spec_en":"No resistance is given in the vendor BOM or schematic.","purpose_zh":"R5: DPS1 狀態 LED 的串聯限流電阻。","purpose_en":"R5: Series current-limiting resistor for the DPS1 status LED.","missing_zh":"廠牌／完整料號、封裝尺寸與高度、功率、容差、溫度係數及最大工作電壓尚未提供。","missing_en":"Manufacturer/orderable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34</x:v>
      </x:c>
      <x:c r="C147" s="18" t="str">
        <x:v>原供應商／來源欄位；採用 PCB 工作表的現行估值與待確認規格。</x:v>
      </x:c>
    </x:row>
    <x:row r="148" ht="222" customHeight="1">
      <x:c r="A148" s="18" t="str">
        <x:v>35: R6</x:v>
      </x:c>
      <x:c r="B148" s="18" t="str">
        <x:v>status: 規格/MPN未完整
unit_price: 1
source: NTHU_TEST_BOARD_BOM.docx vendor table row 35
source_ids: ["vendor_BOM","schematic"]
per_reference: [{"reference":"R6","purpose_zh":"5V 輸出至 U1 FB 的上臂回授電阻；與 R8 決定輸出設定。","purpose_en":"Upper feedback resistor from the 5V output to U1 FB; sets output together with R8.","location_zh":"原理圖第 1 頁：升壓電源","location_en":"Schematic page 1: boost supply","page":1}]
orderability: incomplete_passive_specification
details: {"spec_zh":"原廠 BOM 與原理圖皆未填阻值。","spec_en":"No resistance is given in the vendor BOM or schematic.","purpose_zh":"R6: 5V 輸出至 U1 FB 的上臂回授電阻；與 R8 決定輸出設定。","purpose_en":"R6: Upper feedback resistor from the 5V output to U1 FB; sets output together with R8.","missing_zh":"廠牌／完整料號、封裝尺寸與高度、功率、容差、溫度係數及最大工作電壓尚未提供。","missing_en":"Manufacturer/orderable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35</x:v>
      </x:c>
      <x:c r="C148" s="18" t="str">
        <x:v>原供應商／來源欄位；採用 PCB 工作表的現行估值與待確認規格。</x:v>
      </x:c>
    </x:row>
    <x:row r="149" ht="208" customHeight="1">
      <x:c r="A149" s="18" t="str">
        <x:v>36: R7</x:v>
      </x:c>
      <x:c r="B149" s="18" t="str">
        <x:v>status: 規格/MPN未完整
unit_price: 1
source: NTHU_TEST_BOARD_BOM.docx vendor table row 36
source_ids: ["vendor_BOM","schematic"]
per_reference: [{"reference":"R7","purpose_zh":"DPS2 充電 LED 的串聯限流電阻。","purpose_en":"Series current-limiting resistor for the DPS2 charging LED.","location_zh":"原理圖第 1 頁：充電狀態顯示","location_en":"Schematic page 1: charger status","page":1}]
orderability: incomplete_passive_specification
details: {"spec_zh":"原廠 BOM 與原理圖皆未填阻值。","spec_en":"No resistance is given in the vendor BOM or schematic.","purpose_zh":"R7: DPS2 充電 LED 的串聯限流電阻。","purpose_en":"R7: Series current-limiting resistor for the DPS2 charging LED.","missing_zh":"廠牌／完整料號、封裝尺寸與高度、功率、容差、溫度係數及最大工作電壓尚未提供。","missing_en":"Manufacturer/orderable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36</x:v>
      </x:c>
      <x:c r="C149" s="18" t="str">
        <x:v>原供應商／來源欄位；採用 PCB 工作表的現行估值與待確認規格。</x:v>
      </x:c>
    </x:row>
    <x:row r="150" ht="222" customHeight="1">
      <x:c r="A150" s="18" t="str">
        <x:v>37: R8</x:v>
      </x:c>
      <x:c r="B150" s="18" t="str">
        <x:v>status: 規格/MPN未完整
unit_price: 1
source: NTHU_TEST_BOARD_BOM.docx vendor table row 37
source_ids: ["vendor_BOM","schematic"]
per_reference: [{"reference":"R8","purpose_zh":"U1 FB 至 GND 的下臂回授電阻；與 R6 決定輸出設定。","purpose_en":"Lower feedback resistor from U1 FB to ground; sets output together with R6.","location_zh":"原理圖第 1 頁：升壓電源","location_en":"Schematic page 1: boost supply","page":1}]
orderability: incomplete_passive_specification
details: {"spec_zh":"原廠 BOM 與原理圖皆未填阻值。","spec_en":"No resistance is given in the vendor BOM or schematic.","purpose_zh":"R8: U1 FB 至 GND 的下臂回授電阻；與 R6 決定輸出設定。","purpose_en":"R8: Lower feedback resistor from U1 FB to ground; sets output together with R6.","missing_zh":"廠牌／完整料號、封裝尺寸與高度、功率、容差、溫度係數及最大工作電壓尚未提供。","missing_en":"Manufacturer/orderable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37</x:v>
      </x:c>
      <x:c r="C150" s="18" t="str">
        <x:v>原供應商／來源欄位；採用 PCB 工作表的現行估值與待確認規格。</x:v>
      </x:c>
    </x:row>
    <x:row r="151" ht="236" customHeight="1">
      <x:c r="A151" s="18" t="str">
        <x:v>38: R9</x:v>
      </x:c>
      <x:c r="B151" s="18" t="str">
        <x:v>status: 規格/MPN未完整
unit_price: 1
source: NTHU_TEST_BOARD_BOM.docx vendor table row 38
source_ids: ["vendor_BOM","schematic"]
per_reference: [{"reference":"R9","purpose_zh":"U2 TS 至 GND 的偏壓支路；圖中僅畫電阻，不能宣稱已接電池溫度感測器。","purpose_en":"Bias branch from U2 TS to ground; the drawing only shows a resistor, not a verified battery-temperature sensor.","location_zh":"原理圖第 1 頁：充電 TS","location_en":"Schematic page 1: charger TS","page":1}]
orderability: incomplete_passive_specification
details: {"spec_zh":"原廠 BOM 與原理圖皆未填阻值。","spec_en":"No resistance is given in the vendor BOM or schematic.","purpose_zh":"R9: U2 TS 至 GND 的偏壓支路；圖中僅畫電阻，不能宣稱已接電池溫度感測器。","purpose_en":"R9: Bias branch from U2 TS to ground; the drawing only shows a resistor, not a verified battery-temperature sensor.","missing_zh":"廠牌／完整料號、封裝尺寸與高度、功率、容差、溫度係數及最大工作電壓尚未提供。","missing_en":"Manufacturer/orderable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38</x:v>
      </x:c>
      <x:c r="C151" s="18" t="str">
        <x:v>原供應商／來源欄位；採用 PCB 工作表的現行估值與待確認規格。</x:v>
      </x:c>
    </x:row>
    <x:row r="152" ht="236" customHeight="1">
      <x:c r="A152" s="18" t="str">
        <x:v>39: R10</x:v>
      </x:c>
      <x:c r="B152" s="18" t="str">
        <x:v>status: 規格/MPN未完整
unit_price: 1
source: NTHU_TEST_BOARD_BOM.docx vendor table row 39
source_ids: ["vendor_BOM","schematic"]
per_reference: [{"reference":"R10","purpose_zh":"系統供電至 U3 P2 的分壓上臂，與 R12/C9 配合；U3 的確切功能未知。","purpose_en":"Upper divider from system supply to U3 P2, used with R12/C9; exact U3 function is unknown.","location_zh":"原理圖第 1 頁：U3 電源控制周邊","location_en":"Schematic page 1: U3 power-control circuitry","page":1}]
orderability: incomplete_passive_specification
details: {"spec_zh":"原廠 BOM 與原理圖皆未填阻值。","spec_en":"No resistance is given in the vendor BOM or schematic.","purpose_zh":"R10: 系統供電至 U3 P2 的分壓上臂，與 R12/C9 配合；U3 的確切功能未知。","purpose_en":"R10: Upper divider from system supply to U3 P2, used with R12/C9; exact U3 function is unknown.","missing_zh":"廠牌／完整料號、封裝尺寸與高度、功率、容差、溫度係數及最大工作電壓尚未提供。","missing_en":"Manufacturer/orderable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39</x:v>
      </x:c>
      <x:c r="C152" s="18" t="str">
        <x:v>原供應商／來源欄位；採用 PCB 工作表的現行估值與待確認規格。</x:v>
      </x:c>
    </x:row>
    <x:row r="153" ht="208" customHeight="1">
      <x:c r="A153" s="18" t="str">
        <x:v>40: R11</x:v>
      </x:c>
      <x:c r="B153" s="18" t="str">
        <x:v>status: 規格/MPN未完整
unit_price: 1
source: NTHU_TEST_BOARD_BOM.docx vendor table row 40
source_ids: ["vendor_BOM","schematic"]
per_reference: [{"reference":"R11","purpose_zh":"U1 EN／U3 P3 共用節點至 GND 的下拉。","purpose_en":"Pull-down from the common U1 EN / U3 P3 node to ground.","location_zh":"原理圖第 1 頁：電源啟用","location_en":"Schematic page 1: power enable","page":1}]
orderability: incomplete_passive_specification
details: {"spec_zh":"原廠 BOM 與原理圖皆未填阻值。","spec_en":"No resistance is given in the vendor BOM or schematic.","purpose_zh":"R11: U1 EN／U3 P3 共用節點至 GND 的下拉。","purpose_en":"R11: Pull-down from the common U1 EN / U3 P3 node to ground.","missing_zh":"廠牌／完整料號、封裝尺寸與高度、功率、容差、溫度係數及最大工作電壓尚未提供。","missing_en":"Manufacturer/orderable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40</x:v>
      </x:c>
      <x:c r="C153" s="18" t="str">
        <x:v>原供應商／來源欄位；採用 PCB 工作表的現行估值與待確認規格。</x:v>
      </x:c>
    </x:row>
    <x:row r="154" ht="236" customHeight="1">
      <x:c r="A154" s="18" t="str">
        <x:v>41: R12</x:v>
      </x:c>
      <x:c r="B154" s="18" t="str">
        <x:v>status: 規格/MPN未完整
unit_price: 1
source: NTHU_TEST_BOARD_BOM.docx vendor table row 41
source_ids: ["vendor_BOM","schematic"]
per_reference: [{"reference":"R12","purpose_zh":"U3 P2 至 GND 的分壓下臂，與 R10/C9 配合；U3 的確切功能未知。","purpose_en":"Lower divider from U3 P2 to ground, used with R10/C9; exact U3 function is unknown.","location_zh":"原理圖第 1 頁：U3 電源控制周邊","location_en":"Schematic page 1: U3 power-control circuitry","page":1}]
orderability: incomplete_passive_specification
details: {"spec_zh":"原廠 BOM 與原理圖皆未填阻值。","spec_en":"No resistance is given in the vendor BOM or schematic.","purpose_zh":"R12: U3 P2 至 GND 的分壓下臂，與 R10/C9 配合；U3 的確切功能未知。","purpose_en":"R12: Lower divider from U3 P2 to ground, used with R10/C9; exact U3 function is unknown.","missing_zh":"廠牌／完整料號、封裝尺寸與高度、功率、容差、溫度係數及最大工作電壓尚未提供。","missing_en":"Manufacturer/orderable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41</x:v>
      </x:c>
      <x:c r="C154" s="18" t="str">
        <x:v>原供應商／來源欄位；採用 PCB 工作表的現行估值與待確認規格。</x:v>
      </x:c>
    </x:row>
    <x:row r="155" ht="236" customHeight="1">
      <x:c r="A155" s="18" t="str">
        <x:v>42: R13</x:v>
      </x:c>
      <x:c r="B155" s="18" t="str">
        <x:v>status: 規格/MPN未完整
unit_price: 1
source: NTHU_TEST_BOARD_BOM.docx vendor table row 42
source_ids: ["vendor_BOM","schematic"]
per_reference: [{"reference":"R13","purpose_zh":"USB-C CC1 至 GND 的下拉電阻。數值未給，不能自行填入典型值。","purpose_en":"USB-C CC1-to-ground pull-down; value is absent and must not be replaced by an assumed typical value.","location_zh":"原理圖第 1 頁：USB-C","location_en":"Schematic page 1: USB-C","page":1}]
orderability: incomplete_passive_specification
details: {"spec_zh":"原廠 BOM 與原理圖皆未填阻值。","spec_en":"No resistance is given in the vendor BOM or schematic.","purpose_zh":"R13: USB-C CC1 至 GND 的下拉電阻。數值未給，不能自行填入典型值。","purpose_en":"R13: USB-C CC1-to-ground pull-down; value is absent and must not be replaced by an assumed typical value.","missing_zh":"廠牌／完整料號、封裝尺寸與高度、功率、容差、溫度係數及最大工作電壓尚未提供。","missing_en":"Manufacturer/orderable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42</x:v>
      </x:c>
      <x:c r="C155" s="18" t="str">
        <x:v>原供應商／來源欄位；採用 PCB 工作表的現行估值與待確認規格。</x:v>
      </x:c>
    </x:row>
    <x:row r="156" ht="236" customHeight="1">
      <x:c r="A156" s="18" t="str">
        <x:v>43: R14</x:v>
      </x:c>
      <x:c r="B156" s="18" t="str">
        <x:v>status: 規格/MPN未完整
unit_price: 1
source: NTHU_TEST_BOARD_BOM.docx vendor table row 43
source_ids: ["vendor_BOM","schematic"]
per_reference: [{"reference":"R14","purpose_zh":"USB-C CC2 至 GND 的下拉電阻。數值未給，不能自行填入典型值。","purpose_en":"USB-C CC2-to-ground pull-down; value is absent and must not be replaced by an assumed typical value.","location_zh":"原理圖第 1 頁：USB-C","location_en":"Schematic page 1: USB-C","page":1}]
orderability: incomplete_passive_specification
details: {"spec_zh":"原廠 BOM 與原理圖皆未填阻值。","spec_en":"No resistance is given in the vendor BOM or schematic.","purpose_zh":"R14: USB-C CC2 至 GND 的下拉電阻。數值未給，不能自行填入典型值。","purpose_en":"R14: USB-C CC2-to-ground pull-down; value is absent and must not be replaced by an assumed typical value.","missing_zh":"廠牌／完整料號、封裝尺寸與高度、功率、容差、溫度係數及最大工作電壓尚未提供。","missing_en":"Manufacturer/orderable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43</x:v>
      </x:c>
      <x:c r="C156" s="18" t="str">
        <x:v>原供應商／來源欄位；採用 PCB 工作表的現行估值與待確認規格。</x:v>
      </x:c>
    </x:row>
    <x:row r="157" ht="166" customHeight="1">
      <x:c r="A157" s="18" t="str">
        <x:v>44: R15,R28,R35</x:v>
      </x:c>
      <x:c r="B157" s="18" t="str">
        <x:v>status: 依廠商BOM，封裝/容差仍需確認
unit_price: 1
source: NTHU_TEST_BOARD_BOM.docx vendor table row 44
source_ids: ["vendor_BOM","schematic"]
per_reference: [{"reference":"R15","purpose_zh":"ESP_EN 至 3V3_DIG 的上拉。","purpose_en":"Pull-up from ESP_EN to 3V3_DIG.","location_zh":"原理圖第 2 頁：ESP32 復位","location_en":"Schematic page 2: ESP32 reset","page":2},{"reference":"R28","purpose_zh":"U7 SHDN 至 Vin／3V3_ANA 的上拉。","purpose_en":"Pull-up from U7 SHDN to Vin / 3V3_ANA.","location_zh":"原理圖第 2 頁：2V5_REF","location_en":"Schematic page 2: 2V5_REF","page":2},{"reference":"R35","purpose_zh":"U9 DIN 至 3V3_DIG 的上拉，用於原圖標示的三線 CS 模式設定。","purpose_en":"DIN-to-3V3_DIG pull-up for the three-wire CS-mode configuration labelled in the schematic.","location_zh":"原理圖第 2</x:v>
      </x:c>
      <x:c r="C157" s="18" t="str">
        <x:v>原供應商／來源欄位；採用 PCB 工作表的現行估值與待確認規格。</x:v>
      </x:c>
    </x:row>
    <x:row r="158" ht="152" customHeight="1">
      <x:c r="A158" s="18" t="str">
        <x:v>44: R15,R28,R35 （續）</x:v>
      </x:c>
      <x:c r="B158" s="18" t="str">
        <x:v> 頁：ADC","location_en":"Schematic page 2: ADC","page":2}]
orderability: incomplete_passive_specification
details: {"spec_zh":"原廠標稱阻值 10k。","spec_en":"Vendor nominal resistance: 10k.","purpose_zh":"R15: ESP_EN 至 3V3_DIG 的上拉。；R28: U7 SHDN 至 Vin／3V3_ANA 的上拉。；R35: U9 DIN 至 3V3_DIG 的上拉，用於原圖標示的三線 CS 模式設定。","purpose_en":"R15: Pull-up from ESP_EN to 3V3_DIG.；R28: Pull-up from U7 SHDN to Vin / 3V3_ANA.；R35: DIN-to-3V3_DIG pull-up for the three-wire CS-mode configuration labelled in the schematic.","missing_zh":"廠牌／完整料號、封裝尺寸與高度、功率、容差、溫度係數及最大工作電壓尚未提供。","missing_en":"Manufacturer/orderable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44</x:v>
      </x:c>
      <x:c r="C158" s="18" t="str"/>
    </x:row>
    <x:row r="159" ht="264" customHeight="1">
      <x:c r="A159" s="18" t="str">
        <x:v>45: R16,R21,R24,R29,R30,R31,R3
6</x:v>
      </x:c>
      <x:c r="B159" s="18" t="str">
        <x:v>status: 依廠商BOM，封裝/容差仍需確認
unit_price: 1
source: NTHU_TEST_BOARD_BOM.docx vendor table row 45
source_ids: ["vendor_BOM","schematic"]
per_reference: [{"reference":"R16","purpose_zh":"D1 藍光 LED 的 5V 串聯限流電阻。","purpose_en":"5V series current-limiting resistor for blue LED D1.","location_zh":"原理圖第 2 頁：LEDs","location_en":"Schematic page 2: LEDs","page":2},{"reference":"R21","purpose_zh":"D2 藍光 LED 的 5V 串聯限流電阻。","purpose_en":"5V series current-limiting resistor for blue LED D2.","location_zh":"原理圖第 2 頁：LEDs","location_en":"Schematic page 2: LEDs","page":2},{"reference":"R24","purpose_zh":"D3 藍光 LED 的 5V 串聯限流電阻。","purpose_en":"5V series current-limiting resistor for blue LED D3.","location_zh":"原理圖第 2 頁：LEDs","location_en":"Schematic page 2: LEDs","page":2},{"reference":"R29","purpose_zh":"U8 輸出至 ADC_AINP 的串聯隔離／濾波电阻。","purpose_en":"Series isolation/filtering resistor from U8 output to ADC_AINP.","location_zh":"原理圖第 2 頁：TIA／ADC","location_en":"Schematic page 2: TIA / ADC","page":2},{"reference":"R30","purpose_zh":"D4 藍光 LED 的 5V 串聯限流電阻。","purpose_en":"5V series current-limiting resistor for blue LED D4.","location_zh":"原理圖第 2 頁：LEDs","location_en":"Schematic page 2: LEDs","page":2},{"reference":"R31","purpose_zh":"3V3_ANA 至 U8 局部供電的串聯濾波電阻，搭配 C25/C26。","purpose_en":"Series supply-filter resistor from 3V3_ANA to the U8 local supply, used with C25/C26.","location_zh":"原理圖第 2 頁：TIA</x:v>
      </x:c>
      <x:c r="C159" s="18" t="str">
        <x:v>原供應商／來源欄位；採用 PCB 工作表的現行估值與待確認規格。</x:v>
      </x:c>
    </x:row>
    <x:row r="160" ht="264" customHeight="1">
      <x:c r="A160" s="18" t="str">
        <x:v>45: R16,R21,R24,R29,R30,R31,R3
6 （續）</x:v>
      </x:c>
      <x:c r="B160" s="18" t="str">
        <x:v> 供電","location_en":"Schematic page 2: TIA supply","page":2},{"reference":"R36","purpose_zh":"ADC_AINN 至 GND 的串聯電阻，搭配 R29/C24 的輸入網路。","purpose_en":"Series resistor from ADC_AINN to ground in the R29/C24 input network.","location_zh":"原理圖第 2 頁：TIA／ADC","location_en":"Schematic page 2: TIA / ADC","page":2}]
orderability: incomplete_passive_specification
details: {"spec_zh":"原廠標稱阻值 100R。","spec_en":"Vendor nominal resistance: 100R.","purpose_zh":"R16: D1 藍光 LED 的 5V 串聯限流電阻。；R21: D2 藍光 LED 的 5V 串聯限流電阻。；R24: D3 藍光 LED 的 5V 串聯限流電阻。；R29: U8 輸出至 ADC_AINP 的串聯隔離／濾波电阻。；R30: D4 藍光 LED 的 5V 串聯限流電阻。；R31: 3V3_ANA 至 U8 局部供電的串聯濾波電阻，搭配 C25/C26。；R36: ADC_AINN 至 GND 的串聯電阻，搭配 R29/C24 的輸入網路。","purpose_en":"R16: 5V series current-limiting resistor for blue LED D1.；R21: 5V series current-limiting resistor for blue LED D2.；R24: 5V series current-limiting resistor for blue LED D3.；R29: Series isolation/filtering resistor from U8 output to ADC_AINP.；R30: 5V series current-limiting resistor for blue LED D4.；R31: Series supply-filter resistor from 3V3_ANA to the U8 local supply, used with C25/C26.；R36: Series resistor from ADC_AINN to ground in the R29/C24 input network.","missing_zh":"廠牌／完整料號、封裝尺寸與高度、功率、容差、溫度係數及最大工作電壓尚未提供。","missing_en":"Manufacturer/orderable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45</x:v>
      </x:c>
      <x:c r="C160" s="18" t="str"/>
    </x:row>
    <x:row r="161" ht="180" customHeight="1">
      <x:c r="A161" s="18" t="str">
        <x:v>46: R17,R22,R25,R32</x:v>
      </x:c>
      <x:c r="B161" s="18" t="str">
        <x:v>status: 依廠商BOM，封裝/容差仍需確認
unit_price: 1
source: NTHU_TEST_BOARD_BOM.docx vendor table row 46
source_ids: ["vendor_BOM","schematic"]
per_reference: [{"reference":"R17","purpose_zh":"LED1_GATE 至 Q1 閘極的串聯電阻。","purpose_en":"Series resistor from LED1_GATE to the Q1 gate.","location_zh":"原理圖第 2 頁：LEDs","location_en":"Schematic page 2: LEDs","page":2},{"reference":"R22","purpose_zh":"LED2_GATE 至 Q2 閘極的串聯電阻。","purpose_en":"Series resistor from LED2_GATE to the Q2 gate.","location_zh":"原理圖第 2 頁：LEDs","location_en":"Schematic page 2: LEDs","page":2},{"reference":"R25","purpose_zh":"LED3_GATE 至 Q3 閘極的串聯電阻。","purpose_en":"Series resistor from LED3_GATE to the Q3 gate.","location_zh":"原理圖第 2 頁：LEDs","location_en":"Schematic page 2: LEDs","page":2},{"reference":"R32","purpose_zh":"LED4_GATE 至 Q4 閘極的串聯電阻。","purpose_en":"Series resistor from LED4_GATE to</x:v>
      </x:c>
      <x:c r="C161" s="18" t="str">
        <x:v>原供應商／來源欄位；採用 PCB 工作表的現行估值與待確認規格。</x:v>
      </x:c>
    </x:row>
    <x:row r="162" ht="166" customHeight="1">
      <x:c r="A162" s="18" t="str">
        <x:v>46: R17,R22,R25,R32 （續）</x:v>
      </x:c>
      <x:c r="B162" s="18" t="str">
        <x:v> the Q4 gate.","location_zh":"原理圖第 2 頁：LEDs","location_en":"Schematic page 2: LEDs","page":2}]
orderability: incomplete_passive_specification
details: {"spec_zh":"原廠標稱阻值 220R。","spec_en":"Vendor nominal resistance: 220R.","purpose_zh":"R17: LED1_GATE 至 Q1 閘極的串聯電阻。；R22: LED2_GATE 至 Q2 閘極的串聯電阻。；R25: LED3_GATE 至 Q3 閘極的串聯電阻。；R32: LED4_GATE 至 Q4 閘極的串聯電阻。","purpose_en":"R17: Series resistor from LED1_GATE to the Q1 gate.；R22: Series resistor from LED2_GATE to the Q2 gate.；R25: Series resistor from LED3_GATE to the Q3 gate.；R32: Series resistor from LED4_GATE to the Q4 gate.","missing_zh":"廠牌／完整料號、封裝尺寸與高度、功率、容差、溫度係數及最大工作電壓尚未提供。","missing_en":"Manufacturer/orderable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46</x:v>
      </x:c>
      <x:c r="C162" s="18" t="str"/>
    </x:row>
    <x:row r="163" ht="180" customHeight="1">
      <x:c r="A163" s="18" t="str">
        <x:v>47: R20,R23,R26,R33</x:v>
      </x:c>
      <x:c r="B163" s="18" t="str">
        <x:v>status: 依廠商BOM，封裝/容差仍需確認
unit_price: 1
source: NTHU_TEST_BOARD_BOM.docx vendor table row 47
source_ids: ["vendor_BOM","schematic"]
per_reference: [{"reference":"R20","purpose_zh":"Q1 閘極至源極／GND 的下拉。","purpose_en":"Pull-down from the Q1 gate to its source / ground.","location_zh":"原理圖第 2 頁：LEDs","location_en":"Schematic page 2: LEDs","page":2},{"reference":"R23","purpose_zh":"Q2 閘極至源極／GND 的下拉。","purpose_en":"Pull-down from the Q2 gate to its source / ground.","location_zh":"原理圖第 2 頁：LEDs","location_en":"Schematic page 2: LEDs","page":2},{"reference":"R26","purpose_zh":"Q3 閘極至源極／GND 的下拉。","purpose_en":"Pull-down from the Q3 gate to its source / ground.","location_zh":"原理圖第 2 頁：LEDs","location_en":"Schematic page 2: LEDs","page":2},{"reference":"R33","purpose_zh":"Q4 閘極至源極／GND 的下拉。","purpose_en":"Pull-down from the Q4 gate to its</x:v>
      </x:c>
      <x:c r="C163" s="18" t="str">
        <x:v>原供應商／來源欄位；採用 PCB 工作表的現行估值與待確認規格。</x:v>
      </x:c>
    </x:row>
    <x:row r="164" ht="180" customHeight="1">
      <x:c r="A164" s="18" t="str">
        <x:v>47: R20,R23,R26,R33 （續）</x:v>
      </x:c>
      <x:c r="B164" s="18" t="str">
        <x:v> source / ground.","location_zh":"原理圖第 2 頁：LEDs","location_en":"Schematic page 2: LEDs","page":2}]
orderability: incomplete_passive_specification
details: {"spec_zh":"原廠標稱阻值 100k。","spec_en":"Vendor nominal resistance: 100k.","purpose_zh":"R20: Q1 閘極至源極／GND 的下拉。；R23: Q2 閘極至源極／GND 的下拉。；R26: Q3 閘極至源極／GND 的下拉。；R33: Q4 閘極至源極／GND 的下拉。","purpose_en":"R20: Pull-down from the Q1 gate to its source / ground.；R23: Pull-down from the Q2 gate to its source / ground.；R26: Pull-down from the Q3 gate to its source / ground.；R33: Pull-down from the Q4 gate to its source / ground.","missing_zh":"廠牌／完整料號、封裝尺寸與高度、功率、容差、溫度係數及最大工作電壓尚未提供。","missing_en":"Manufacturer/orderable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47</x:v>
      </x:c>
      <x:c r="C164" s="18" t="str"/>
    </x:row>
    <x:row r="165" ht="264" customHeight="1">
      <x:c r="A165" s="18" t="str">
        <x:v>48: R27</x:v>
      </x:c>
      <x:c r="B165" s="18" t="str">
        <x:v>status: 依廠商BOM，封裝/容差仍需確認
unit_price: 30
source: NTHU_TEST_BOARD_BOM.docx vendor table row 48
source_ids: ["vendor_BOM","schematic"]
per_reference: [{"reference":"R27","purpose_zh":"U8 輸出至反相輸入的跨阻回授電阻，將 PD 光電流轉成電壓；與 C21 並聯。","purpose_en":"Transimpedance feedback from U8 output to its inverting input, converting PD photocurrent to voltage; in parallel with C21.","location_zh":"原理圖第 2 頁：TIA","location_en":"Schematic page 2: TIA","page":2}]
orderability: incomplete_passive_specification
details: {"spec_zh":"原廠標稱阻值 100M。","spec_en":"Vendor nominal resistance: 100M.","purpose_zh":"R27: U8 輸出至反相輸入的跨阻回授電阻，將 PD 光電流轉成電壓；與 C21 並聯。","purpose_en":"R27: Transimpedance feedback from U8 output to its inverting input, converting PD photocurrent to voltage; in parallel with C21.","missing_zh":"廠牌／完整料號、封裝尺寸與高度、功率、容差、溫度係數及最大工作電壓尚未提供。 100 MΩ 回授需另核對漏電、清潔／濕度敏感度與雜訊；不可僅凭阻值任選。","missing_en":"Manufacturer/orderable MPN, case dimensions/height, power rating, tolerance, temperature coefficient and maximum working voltage are not supplied. The 100 MΩ feedback also requires leakage, cleaning/humidity and noise review; resistance alone is insufficient."}
original_source: NTHU_TEST_BOARD_BOM.docx vendor table row 48</x:v>
      </x:c>
      <x:c r="C165" s="18" t="str">
        <x:v>原供應商／來源欄位；採用 PCB 工作表的現行估值與待確認規格。</x:v>
      </x:c>
    </x:row>
    <x:row r="166" ht="236" customHeight="1">
      <x:c r="A166" s="18" t="str">
        <x:v>49: R34</x:v>
      </x:c>
      <x:c r="B166" s="18" t="str">
        <x:v>status: 依廠商BOM，封裝/容差仍需確認
unit_price: 5
source: NTHU_TEST_BOARD_BOM.docx vendor table row 49
source_ids: ["vendor_BOM","schematic"]
per_reference: [{"reference":"R34","purpose_zh":"與 C28 串聯接於 VREF_2V5 至 GND 旁路支路；不是電流感測電阻，也非串在 ADC 訊號線中。","purpose_en":"In series with C28 in the VREF_2V5-to-ground bypass branch; not a current-sense resistor or series ADC-signal resistor.","location_zh":"原理圖第 2 頁：ADC 參考","location_en":"Schematic page 2: ADC reference","page":2}]
orderability: incomplete_passive_specification
details: {"spec_zh":"原廠標稱阻值 0.1R。","spec_en":"Vendor nominal resistance: 0.1R.","purpose_zh":"R34: 與 C28 串聯接於 VREF_2V5 至 GND 旁路支路；不是電流感測電阻，也非串在 ADC 訊號線中。","purpose_en":"R34: In series with C28 in the VREF_2V5-to-ground bypass branch; not a current-sense resistor or series ADC-signal resistor.","missing_zh":"廠牌／完整料號、封裝尺寸與高度、功率、容差、溫度係數及最大工作電壓尚未提供。","missing_en":"Manufacturer/orderable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49</x:v>
      </x:c>
      <x:c r="C166" s="18" t="str">
        <x:v>原供應商／來源欄位；採用 PCB 工作表的現行估值與待確認規格。</x:v>
      </x:c>
    </x:row>
    <x:row r="167" ht="264" customHeight="1">
      <x:c r="A167" s="18" t="str">
        <x:v>50: R37,R38</x:v>
      </x:c>
      <x:c r="B167" s="18" t="str">
        <x:v>status: 依廠商BOM，封裝/容差仍需確認
unit_price: 1
source: NTHU_TEST_BOARD_BOM.docx vendor table row 50
source_ids: ["vendor_BOM","schematic"]
per_reference: [{"reference":"R37","purpose_zh":"ESP32 ADC_SCLK 至 U9 SCLK 的串聯電阻。","purpose_en":"Series resistor from ESP32 ADC_SCLK to U9 SCLK.","location_zh":"原理圖第 2 頁：ADC 數位介面","location_en":"Schematic page 2: ADC digital interface","page":2},{"reference":"R38","purpose_zh":"ESP32 ADC_CONVST 至 U9 CONVST 的串聯電阻。","purpose_en":"Series resistor from ESP32 ADC_CONVST to U9 CONVST.","location_zh":"原理圖第 2 頁：ADC 數位介面","location_en":"Schematic page 2: ADC digital interface","page":2}]
orderability: incomplete_passive_specification
details: {"spec_zh":"原廠標稱阻值 47R。","spec_en":"Vendor nominal resistance: 47R.","purpose_zh":"R37: ESP32 ADC_SCLK 至 U9 SCLK 的串聯電阻。；R38: ESP32 ADC_CONVST 至 U9 CONVST 的串聯電阻。","purpose_en":"R37: Series resistor from ESP32 ADC_SCLK to U9 SCLK.；R38: Series resistor from ESP32 ADC_CONVST to U9 CONVST.","missing_zh":"廠牌／完整料號、封裝尺寸與高度、功率、容差、溫度係數及最大工作電壓尚未提供。","missing_en":"Manufacturer/orderable MPN, case dimensions/height, power rating, tolerance, temperature coefficient and maximum working voltage are not supplied."}
original_source: NTHU_TEST_BOARD_BOM.docx vendor table row 50</x:v>
      </x:c>
      <x:c r="C167" s="18" t="str">
        <x:v>原供應商／來源欄位；採用 PCB 工作表的現行估值與待確認規格。</x:v>
      </x:c>
    </x:row>
    <x:row r="168" ht="208" customHeight="1">
      <x:c r="A168" s="18" t="str">
        <x:v>51: SW1</x:v>
      </x:c>
      <x:c r="B168" s="18" t="str">
        <x:v>status: 規格/MPN未完整
unit_price: 15
source: NTHU_TEST_BOARD_BOM.docx vendor table row 51
source_ids: ["vendor_BOM","schematic"]
per_reference: []
orderability: incomplete_component_specification
details: {"spec_zh":"原圖三接點 COMM/B/A；COMM 接系統供電，B 經 R4 接 EN，A 未接。","spec_en":"Three schematic contacts COMM/B/A; COMM is at system supply, B connects through R4 to EN, and A is unconnected.","purpose_zh":"切換 U1 升壓啟用控制；不能據此宣稱切斷 USB 充電器或所有電池電流。","purpose_en":"Switches the U1 boost-enable control; it does not establish isolation of the USB charger or all battery current.","missing_zh":"MPN、實體型式、封裝／操作柄位置與行程、額定值及開孔尺寸未提供。","missing_en":"MPN, physical type, footprint/actuator position and travel, ratings and panel opening are unspecified."}
original_source: NTHU_TEST_BOARD_BOM.docx vendor table row 51</x:v>
      </x:c>
      <x:c r="C168" s="18" t="str">
        <x:v>原供應商／來源欄位；採用 PCB 工作表的現行估值與待確認規格。</x:v>
      </x:c>
    </x:row>
    <x:row r="169" ht="180" customHeight="1">
      <x:c r="A169" s="18" t="str">
        <x:v>52: SW2,SW3</x:v>
      </x:c>
      <x:c r="B169" s="18" t="str">
        <x:v>status: 規格/MPN未完整
unit_price: 5
source: NTHU_TEST_BOARD_BOM.docx vendor table row 52
source_ids: ["vendor_BOM","schematic"]
per_reference: []
orderability: incomplete_component_specification
details: {"spec_zh":"SW2、SW3；原圖按下時將各訊號接 GND。","spec_en":"SW2 and SW3; each grounds its respective signal when pressed.","purpose_zh":"SW2：ESP_EN 復位；SW3：ESP_IO0 啟動／下載模式選擇。","purpose_en":"SW2: ESP_EN reset; SW3: ESP_IO0 boot/download-mode selection.","missing_zh":"完整MPN、接點規格、封裝尺寸／按壓高度／方向、操作力與壽命未提供。","missing_en":"MPN, contact rating, footprint/actuation height/direction, force and life are unspecified."}
original_source: NTHU_TEST_BOARD_BOM.docx vendor table row 52</x:v>
      </x:c>
      <x:c r="C169" s="18" t="str">
        <x:v>原供應商／來源欄位；採用 PCB 工作表的現行估值與待確認規格。</x:v>
      </x:c>
    </x:row>
    <x:row r="170" ht="208" customHeight="1">
      <x:c r="A170" s="18" t="str">
        <x:v>53: U1</x:v>
      </x:c>
      <x:c r="B170" s="18" t="str">
        <x:v>status: 依廠商BOM，封裝/容差仍需確認
unit_price: 52
source: NTHU_TEST_BOARD_BOM.docx vendor table row 53
source_ids: ["vendor_BOM","schematic","TI_TPS61023"]
per_reference: []
orderability: identified_part_pending_assembly_verification
details: {"spec_zh":"TI TPS61023；6-pin SOT-563 (DRL)。3.7 A 指開關電流限制，不能當作5 V輸出額定電流。","spec_en":"TI TPS61023; 6-pin SOT-563 (DRL). The 3.7 A figure is a switch-current limit, not a 5 V output-current rating.","purpose_zh":"將充電器 OUT／電池系統供電升壓至圖示5V軌，供 LED 與後級 LDO。","purpose_en":"Boosts the charger OUT / battery-system supply to the rail labelled 5V for LEDs and downstream LDOs.","missing_zh":"完整訂購後綴、L1/C2–C5/R6/R8 等值未完整提供；5V設定、穩定度及風扇可用電流須廠商驗證。","missing_en":"Full ordering suffix and L1/C2–C5/R6/R8 values are incomplete; vendor must validate the 5V setting, stability and available fan current."}
original_source: NTHU_TEST_BOARD_BOM.docx vendor table row 53</x:v>
      </x:c>
      <x:c r="C170" s="18" t="str">
        <x:v>原供應商／來源欄位；採用 PCB 工作表的現行估值與待確認規格。</x:v>
      </x:c>
    </x:row>
    <x:row r="171" ht="208" customHeight="1">
      <x:c r="A171" s="18" t="str">
        <x:v>54: U2</x:v>
      </x:c>
      <x:c r="B171" s="18" t="str">
        <x:v>status: 依廠商BOM，封裝/容差仍需確認
unit_price: 88
source: NTHU_TEST_BOARD_BOM.docx vendor table row 54
source_ids: ["vendor_BOM","schematic","TI_BQ24074"]
per_reference: []
orderability: identified_part_pending_assembly_verification
details: {"spec_zh":"TI BQ24074；4.2 V 單節 Li-ion/Li-poly 充電器；16-pin VQFN (RGT)，3×3 mm。","spec_en":"TI BQ24074; 4.2 V single-cell Li-ion/Li-poly charger; 16-pin VQFN (RGT), 3×3 mm.","purpose_zh":"接 USB 5V_USB、BAT 電池與 OUT 系統供電；OUT 不是已調節的5 V升壓輸出。","purpose_en":"Interfaces USB 5V_USB, the BAT battery node and OUT system supply; OUT is not the regulated 5V boost output.","missing_zh":"完整訂購後綴、R1/R2/R3/R9 及電池／散熱配置未定；不可將器件1.5 A能力當作本板已設定充電電流。","missing_en":"Full ordering suffix, R1/R2/R3/R9, cell and thermal configuration remain incomplete; the device 1.5 A capability is not the configured board charging current."}
original_source: NTHU_TEST_BOARD_BOM.docx vendor table row 54</x:v>
      </x:c>
      <x:c r="C171" s="18" t="str">
        <x:v>原供應商／來源欄位；採用 PCB 工作表的現行估值與待確認規格。</x:v>
      </x:c>
    </x:row>
    <x:row r="172" ht="194" customHeight="1">
      <x:c r="A172" s="18" t="str">
        <x:v>55: U3</x:v>
      </x:c>
      <x:c r="B172" s="18" t="str">
        <x:v>status: 規格/MPN未完整
source: NTHU_TEST_BOARD_BOM.docx vendor table row 55
source_ids: ["vendor_BOM","schematic"]
per_reference: []
orderability: unidentified_component
details: {"spec_zh":"原廠僅有 U3、P1–P6；無型號或功能名稱。","spec_en":"Only U3 and P1–P6 are provided; no MPN or functional identity.","purpose_zh":"P1 接系統供電、P5 接 GND、P2 接 R10/R12/C9、P3 接升壓 EN，P4/P6 各接電容至GND。功能必須由廠商確認。","purpose_en":"P1 connects to system supply, P5 to ground, P2 to R10/R12/C9, P3 to boost EN, and P4/P6 each to a capacitor to ground. Vendor identification is required.","missing_zh":"IC 類型、完整MPN、供電／輸出額定值、腳位定義、封裝與周邊值皆未定；不能指定替代料。","missing_en":"IC type, MPN, supply/output ratings, pin functions, package and external values are unknown; no substitute can be specified."}
original_source: NTHU_TEST_BOARD_BOM.docx vendor table row 55</x:v>
      </x:c>
      <x:c r="C172" s="18" t="str">
        <x:v>原供應商／來源欄位；採用 PCB 工作表的現行估值與待確認規格。</x:v>
      </x:c>
    </x:row>
    <x:row r="173" ht="222" customHeight="1">
      <x:c r="A173" s="18" t="str">
        <x:v>56: U4</x:v>
      </x:c>
      <x:c r="B173" s="18" t="str">
        <x:v>status: 依廠商BOM，封裝/容差仍需確認
unit_price: 181
source: NTHU_TEST_BOARD_BOM.docx vendor table row 56
source_ids: ["vendor_BOM","schematic","ESPRESSIF_32E"]
per_reference: []
orderability: identified_part_pending_assembly_verification
details: {"spec_zh":"Espressif ESP32-WROOM-32E；2.4 GHz 無線、3.3 V 系統模組；32E 為板載 PCB 天線版本。","spec_en":"Espressif ESP32-WROOM-32E; 2.4 GHz wireless module for a 3.3 V system; 32E uses an onboard PCB antenna.","purpose_zh":"控制四路 LED、讀取 ADS8866 並提供網路介面；原圖 UART 在 J3。","purpose_en":"Controls four LED channels, reads ADS8866 and provides networking; schematic UART is available at J3.","missing_zh":"需確認完整容量／溫度等訂購後綴、實際焊接高度與天線禁布／外殼空間；不要把32E誤當具外接天線座的32UE。","missing_en":"Confirm the full flash/temperature ordering variant, assembled height and antenna keepout/enclosure clearance; do not confuse 32E with the external-antenna-connector 32UE."}
original_source: NTHU_TEST_BOARD_BOM.docx vendor table row 56</x:v>
      </x:c>
      <x:c r="C173" s="18" t="str">
        <x:v>原供應商／來源欄位；採用 PCB 工作表的現行估值與待確認規格。</x:v>
      </x:c>
    </x:row>
    <x:row r="174" ht="208" customHeight="1">
      <x:c r="A174" s="18" t="str">
        <x:v>57: U5</x:v>
      </x:c>
      <x:c r="B174" s="18" t="str">
        <x:v>status: 依廠商BOM，封裝/容差仍需確認
unit_price: 10
source: NTHU_TEST_BOARD_BOM.docx vendor table row 57
source_ids: ["vendor_BOM","schematic","ECMOS_EC50117"]
per_reference: []
orderability: identified_part_pending_assembly_verification
details: {"spec_zh":"E-CMOS EC50117KBG；官方訂購表確認固定3.3 V、SOT-223；系列標稱1 A能力。","spec_en":"E-CMOS EC50117KBG; manufacturer ordering table identifies fixed 3.3 V, SOT-223; series nominal 1 A capability.","purpose_zh":"5V 輸入轉為 3V3_DIG，供 ESP32 與數位電路。","purpose_en":"Converts the 5V input to 3V3_DIG for ESP32 and digital circuitry.","missing_zh":"實際可用電流取決於壓差、PCB散熱與負載；須核對 C17/C18 型式、穩定性與組裝封裝，不能宣稱本板可持續供1 A。","missing_en":"Available current depends on dropout, PCB cooling and load; verify C17/C18 type, stability and assembled package. Continuous 1 A board output is not established."}
original_source: NTHU_TEST_BOARD_BOM.docx vendor table row 57</x:v>
      </x:c>
      <x:c r="C174" s="18" t="str">
        <x:v>原供應商／來源欄位；採用 PCB 工作表的現行估值與待確認規格。</x:v>
      </x:c>
    </x:row>
    <x:row r="175" ht="208" customHeight="1">
      <x:c r="A175" s="18" t="str">
        <x:v>58: U6</x:v>
      </x:c>
      <x:c r="B175" s="18" t="str">
        <x:v>status: 依廠商BOM，封裝/容差仍需確認
unit_price: 24
source: NTHU_TEST_BOARD_BOM.docx vendor table row 58
source_ids: ["vendor_BOM","schematic","TI_LP5907"]
per_reference: []
orderability: identified_part_pending_assembly_verification
details: {"spec_zh":"TI LP5907MFX-3.3/NOPB；固定3.3 V、250 mA 器件額定能力；5-pin SOT-23 (DBV)。","spec_en":"TI LP5907MFX-3.3/NOPB; fixed 3.3 V, 250 mA device capability; 5-pin SOT-23 (DBV).","purpose_zh":"將5V轉為3V3_ANA，供類比前端、ADC類比電源及參考電壓IC；EN 接輸入。","purpose_en":"Generates 3V3_ANA from 5V for the analog front end, ADC analog supply and reference IC; EN is tied to input.","missing_zh":"須核對C19/C20有效容值、穩定性、熱耗散與封裝焊盘；額定250 mA不是全系統驗證結果。","missing_en":"Verify effective C19/C20 capacitance, stability, dissipation and footprint; the 250 mA rating is not a whole-system validation result."}
original_source: NTHU_TEST_BOARD_BOM.docx vendor table row 58</x:v>
      </x:c>
      <x:c r="C175" s="18" t="str">
        <x:v>原供應商／來源欄位；採用 PCB 工作表的現行估值與待確認規格。</x:v>
      </x:c>
    </x:row>
    <x:row r="176" ht="208" customHeight="1">
      <x:c r="A176" s="18" t="str">
        <x:v>59: U7</x:v>
      </x:c>
      <x:c r="B176" s="18" t="str">
        <x:v>status: 依廠商BOM，封裝/容差仍需確認
unit_price: 628
source: NTHU_TEST_BOARD_BOM.docx vendor table row 59
source_ids: ["vendor_BOM","schematic","ADI_LTC6655"]
per_reference: []
orderability: identified_part_pending_assembly_verification
details: {"spec_zh":"Analog Devices LTC6655BHMS8-2.5#PBF；2.5 V 輸出、8-pin MSOP。","spec_en":"Analog Devices LTC6655BHMS8-2.5#PBF; 2.5 V output, 8-pin MSOP.","purpose_zh":"由3V3_ANA產生VREF_2V5，供U9 ADC参考；SHDN經R28上拉，輸出force/sense腳於圖中相接。","purpose_en":"Generates VREF_2V5 from 3V3_ANA for U9; SHDN is pulled up by R28 and output force/sense pins are joined in the schematic.","missing_zh":"須核對C22/C23型式、負載／穩定性、佈線與ADC實際參考電壓；不可把名義2.5 V當作已校準量測。","missing_en":"Verify C22/C23 type, load/stability, layout and measured ADC reference voltage; nominal 2.5 V is not a calibrated measurement."}
original_source: NTHU_TEST_BOARD_BOM.docx vendor table row 59</x:v>
      </x:c>
      <x:c r="C176" s="18" t="str">
        <x:v>原供應商／來源欄位；採用 PCB 工作表的現行估值與待確認規格。</x:v>
      </x:c>
    </x:row>
    <x:row r="177" ht="208" customHeight="1">
      <x:c r="A177" s="18" t="str">
        <x:v>60: U8</x:v>
      </x:c>
      <x:c r="B177" s="18" t="str">
        <x:v>status: 依廠商BOM，封裝/容差仍需確認
unit_price: 226
source: NTHU_TEST_BOARD_BOM.docx vendor table row 60
source_ids: ["vendor_BOM","schematic","TI_LMP7721"]
per_reference: []
orderability: identified_part_pending_assembly_verification
details: {"spec_zh":"TI LMP7721；單運算放大器、8-pin SOIC (D)，供電範圍1.8–5.5 V。","spec_en":"TI LMP7721; single amplifier, 8-pin SOIC (D), 1.8–5.5 V supply range.","purpose_zh":"U8以R27=100 MΩ／C21=2.2 pF跨阻回授讀取D5；非反相端接GND，供電經R31/C25/C26濾波。","purpose_en":"U8 reads D5 using R27=100 MΩ / C21=2.2 pF transimpedance feedback; its non-inverting input is grounded and supply is filtered by R31/C25/C26.","missing_zh":"完整訂購後綴、實際封裝與低漏電佈線／清潔、穩定性和接近地電位輸出範圍需驗證；此表不等於TIA性能驗證。","missing_en":"Confirm full ordering suffix, package, low-leakage layout/cleanliness, stability and near-ground output range; this BOM is not TIA performance validation."}
original_source: NTHU_TEST_BOARD_BOM.docx vendor table row 60</x:v>
      </x:c>
      <x:c r="C177" s="18" t="str">
        <x:v>原供應商／來源欄位；採用 PCB 工作表的現行估值與待確認規格。</x:v>
      </x:c>
    </x:row>
    <x:row r="178" ht="208" customHeight="1">
      <x:c r="A178" s="18" t="str">
        <x:v>61: U9</x:v>
      </x:c>
      <x:c r="B178" s="18" t="str">
        <x:v>status: 依廠商BOM，封裝/容差仍需確認
unit_price: 306
source: NTHU_TEST_BOARD_BOM.docx vendor table row 61
source_ids: ["vendor_BOM","schematic","TI_ADS8866"]
per_reference: []
orderability: identified_part_pending_assembly_verification
details: {"spec_zh":"TI ADS8866IDGS；16-bit、100 kSPS 器件上限，10-pin VSSOP (DGS)；外接參考。","spec_en":"TI ADS8866IDGS; 16-bit, 100 kSPS device limit, 10-pin VSSOP (DGS); external reference.","purpose_zh":"取樣TIA輸出；AVDD=3V3_ANA、DVDD=3V3_DIG、REF=VREF_2V5；SCLK/DOUT/CONVST接ESP32。","purpose_en":"Samples TIA output; AVDD=3V3_ANA, DVDD=3V3_DIG, REF=VREF_2V5; SCLK/DOUT/CONVST interface to ESP32.","missing_zh":"需確認實際取樣率／時序、ADC輸入建立時間與雜訊、參考與電源去耦；100 kSPS不是目前韌體已驗證的取樣性能。","missing_en":"Verify actual sampling/timing, input settling/noise and reference/supply decoupling; 100 kSPS is not verified current firmware performance."}
original_source: NTHU_TEST_BOARD_BOM.docx vendor table row 61</x:v>
      </x:c>
      <x:c r="C178" s="18" t="str">
        <x:v>原供應商／來源欄位；採用 PCB 工作表的現行估值與待確認規格。</x:v>
      </x:c>
    </x:row>
    <x:row r="179" ht="30" customHeight="1">
      <x:c r="A179" s="25" t="str">
        <x:v>列印幾何與檔案識別</x:v>
      </x:c>
      <x:c r="B179" s="25" t="str"/>
      <x:c r="C179" s="25" t="str"/>
    </x:row>
    <x:row r="180" ht="110" customHeight="1">
      <x:c r="A180" s="18" t="str">
        <x:v>01_base_BLACK.stl</x:v>
      </x:c>
      <x:c r="B180" s="18" t="str">
        <x:v>Batch: P1
Triangles: 7248; connected components: 1; watertight edges: true
Mesh volume: 78.13914674155713 cm3
Assembly minimum: -54, -56, 0 mm
Assembly maximum: 54, 52, 43.29999923706055 mm
Size: 108, 108, 43.29999923706055 mm
Degenerate triangles removed in original export: 0</x:v>
      </x:c>
      <x:c r="C180" s="18" t="str">
        <x:v>SHA256: dd90fa4a126e02d6523114ea447e4f24aaf27826d7a456a111bd6cf6feee2b22</x:v>
      </x:c>
    </x:row>
    <x:row r="181" ht="110" customHeight="1">
      <x:c r="A181" s="18" t="str">
        <x:v>02_black_hood_BLACK.stl</x:v>
      </x:c>
      <x:c r="B181" s="18" t="str">
        <x:v>Batch: P2
Triangles: 1976; connected components: 1; watertight edges: true
Mesh volume: 28.76661897830055 cm3
Assembly minimum: -54, -56, 40.79999923706055 mm
Assembly maximum: 54, 52, 64 mm
Size: 108, 108, 23.200000762939453 mm
Degenerate triangles removed in original export: 0</x:v>
      </x:c>
      <x:c r="C181" s="18" t="str">
        <x:v>SHA256: c45b0cded88cfa45070e5f04c933d58ffb0aead62d7ea7d8899ca5c906f7f557</x:v>
      </x:c>
    </x:row>
    <x:row r="182" ht="110" customHeight="1">
      <x:c r="A182" s="18" t="str">
        <x:v>03_gas_lid_BLACK.stl</x:v>
      </x:c>
      <x:c r="B182" s="18" t="str">
        <x:v>Batch: P2
Triangles: 3372; connected components: 1; watertight edges: true
Mesh volume: 29.53238239220095 cm3
Assembly minimum: -54, -56, 57.900001525878906 mm
Assembly maximum: 54, 52, 66 mm
Size: 108, 108, 8.099998474121094 mm
Degenerate triangles removed in original export: 2</x:v>
      </x:c>
      <x:c r="C182" s="18" t="str">
        <x:v>SHA256: eb1af20eb3458d72ddc2b2a70a6b206e97616f6d677a2dc703a870ec99c691dd</x:v>
      </x:c>
    </x:row>
    <x:row r="183" ht="110" customHeight="1">
      <x:c r="A183" s="18" t="str">
        <x:v>04_well_NE_CLEAR.stl</x:v>
      </x:c>
      <x:c r="B183" s="18" t="str">
        <x:v>Batch: P3
Triangles: 40; connected components: 1; watertight edges: true
Mesh volume: 0.11564499290465757 cm3
Assembly minimum: 0.7999992370605469, 0.75, 42.5 mm
Assembly maximum: 6.5, 5.25, 55.5 mm
Size: 5.700000762939453, 4.5, 13 mm
Degenerate triangles removed in original export: 0</x:v>
      </x:c>
      <x:c r="C183" s="18" t="str">
        <x:v>SHA256: b349bc6ee902d8bdb5c7e42d39c7ebe928e01e4c2a883a2d869645bee29c86c7</x:v>
      </x:c>
    </x:row>
    <x:row r="184" ht="110" customHeight="1">
      <x:c r="A184" s="18" t="str">
        <x:v>05_well_NW_CLEAR.stl</x:v>
      </x:c>
      <x:c r="B184" s="18" t="str">
        <x:v>Batch: P3
Triangles: 40; connected components: 1; watertight edges: true
Mesh volume: 0.1156449929046576 cm3
Assembly minimum: -6.5, 0.75, 42.5 mm
Assembly maximum: -0.7999992370605469, 5.25, 55.5 mm
Size: 5.700000762939453, 4.5, 13 mm
Degenerate triangles removed in original export: 0</x:v>
      </x:c>
      <x:c r="C184" s="18" t="str">
        <x:v>SHA256: c4d0085d0fd145611bef334bfc3ec3b513f1340f9608a29822ac0ccd709bb790</x:v>
      </x:c>
    </x:row>
    <x:row r="185" ht="110" customHeight="1">
      <x:c r="A185" s="18" t="str">
        <x:v>06_well_SW_CLEAR.stl</x:v>
      </x:c>
      <x:c r="B185" s="18" t="str">
        <x:v>Batch: P3
Triangles: 40; connected components: 1; watertight edges: true
Mesh volume: 0.11564499290465756 cm3
Assembly minimum: -6.5, -5.25, 42.5 mm
Assembly maximum: -0.7999992370605469, -0.75, 55.5 mm
Size: 5.700000762939453, 4.5, 13 mm
Degenerate triangles removed in original export: 0</x:v>
      </x:c>
      <x:c r="C185" s="18" t="str">
        <x:v>SHA256: fec68336b7a5b404f66f46e0a54f6d66ed84ff590e85e4793ce028ff90a10fb2</x:v>
      </x:c>
    </x:row>
    <x:row r="186" ht="110" customHeight="1">
      <x:c r="A186" s="18" t="str">
        <x:v>07_well_SE_CLEAR.stl</x:v>
      </x:c>
      <x:c r="B186" s="18" t="str">
        <x:v>Batch: P3
Triangles: 40; connected components: 1; watertight edges: true
Mesh volume: 0.11564499290465757 cm3
Assembly minimum: 0.7999992370605469, -5.25, 42.5 mm
Assembly maximum: 6.5, -0.75, 55.5 mm
Size: 5.700000762939453, 4.5, 13 mm
Degenerate triangles removed in original export: 0</x:v>
      </x:c>
      <x:c r="C186" s="18" t="str">
        <x:v>SHA256: 64930ddaca73a7cfd28599e3525a9e77f26db9e8bbb255e126343b579945a363</x:v>
      </x:c>
    </x:row>
    <x:row r="187" ht="110" customHeight="1">
      <x:c r="A187" s="18" t="str">
        <x:v>08_gas_compression_plate_B
LACK.stl</x:v>
      </x:c>
      <x:c r="B187" s="18" t="str">
        <x:v>Batch: P2
Triangles: 92; connected components: 1; watertight edges: true
Mesh volume: 0.37824025512696247 cm3
Assembly minimum: -10, -9, 56.099998474121094 mm
Assembly maximum: 10, 9, 57.29999923706055 mm
Size: 20, 18, 1.2000007629394531 mm
Degenerate triangles removed in original export: 0</x:v>
      </x:c>
      <x:c r="C187" s="18" t="str">
        <x:v>SHA256: 8255ef667a516ba1fd46389974d341523e5bcee4bc5f81e6805fa2f3b864ef64</x:v>
      </x:c>
    </x:row>
    <x:row r="188" ht="28" customHeight="1">
      <x:c r="A188" s="18" t="str">
        <x:v>01_base_BLACK.ctb</x:v>
      </x:c>
      <x:c r="B188" s="18" t="str">
        <x:v>切片列印檔。整理前後位元組內容相同。</x:v>
      </x:c>
      <x:c r="C188" s="18" t="str">
        <x:v>SHA256: 1d05971e924c78ade7c83b0acae26120e2dddff5b3b52b35064b252af4ad474b</x:v>
      </x:c>
    </x:row>
    <x:row r="189" ht="28" customHeight="1">
      <x:c r="A189" s="18" t="str">
        <x:v>020308_parts.ctb</x:v>
      </x:c>
      <x:c r="B189" s="18" t="str">
        <x:v>切片列印檔。整理前後位元組內容相同。</x:v>
      </x:c>
      <x:c r="C189" s="18" t="str">
        <x:v>SHA256: f76017570fd0f2680b0245193d79bfe6ccc4f6919abb938166f5a0cc9a814a6e</x:v>
      </x:c>
    </x:row>
    <x:row r="190" ht="28" customHeight="1">
      <x:c r="A190" s="18" t="str">
        <x:v>0407_wells.ctb</x:v>
      </x:c>
      <x:c r="B190" s="18" t="str">
        <x:v>切片列印檔。整理前後位元組內容相同。</x:v>
      </x:c>
      <x:c r="C190" s="18" t="str">
        <x:v>SHA256: cec360f96ba4704f76ac404b8af52bdb09c2033c37464cb0cb0512ec80cab98d</x:v>
      </x:c>
    </x:row>
    <x:row r="191" ht="30" customHeight="1">
      <x:c r="A191" s="25" t="str">
        <x:v>計價原則</x:v>
      </x:c>
      <x:c r="B191" s="25" t="str"/>
      <x:c r="C191" s="25" t="str"/>
    </x:row>
    <x:row r="192" ht="28" customHeight="1">
      <x:c r="A192" s="18" t="str">
        <x:v>quantity_basis</x:v>
      </x:c>
      <x:c r="B192" s="18" t="str">
        <x:v>Small-quantity retail; listings, proxies and allowances explicitly distinguished</x:v>
      </x:c>
      <x:c r="C192" s="18" t="str"/>
    </x:row>
    <x:row r="193" ht="28" customHeight="1">
      <x:c r="A193" s="18" t="str">
        <x:v>tax_shipping</x:v>
      </x:c>
      <x:c r="B193" s="18" t="str">
        <x:v>Shipping, import duties and taxes not included unless source explicitly states included</x:v>
      </x:c>
      <x:c r="C193" s="18" t="str"/>
    </x:row>
    <x:row r="194" ht="28" customHeight="1">
      <x:c r="A194" s="18" t="str">
        <x:v>PCBA</x:v>
      </x:c>
      <x:c r="B194" s="18" t="str">
        <x:v>Use quoted allocation once; do not add PCB component estimate again</x:v>
      </x:c>
      <x:c r="C194" s="18" t="str"/>
    </x:row>
    <x:row r="195" ht="28" customHeight="1">
      <x:c r="A195" s="18" t="str">
        <x:v>printing</x:v>
      </x:c>
      <x:c r="B195" s="18" t="str">
        <x:v>Preserve user formula and source amounts; no extra bottle cost or machine charge added</x:v>
      </x:c>
      <x:c r="C195" s="18" t="str"/>
    </x:row>
    <x:row r="196" ht="28" customHeight="1">
      <x:c r="A196" s="18" t="str">
        <x:v>future</x:v>
      </x:c>
      <x:c r="B196" s="18" t="str">
        <x:v>Excluded from current device and development totals</x:v>
      </x:c>
      <x:c r="C196" s="18" t="str"/>
    </x:row>
    <x:row r="197" ht="28" customHeight="1">
      <x:c r="A197" s="18" t="str">
        <x:v>missing</x:v>
      </x:c>
      <x:c r="B197" s="18" t="str">
        <x:v>Unidentified U3 not assigned a false price; custom optical filter not order-ready</x:v>
      </x:c>
      <x:c r="C197" s="18" t="str"/>
    </x:row>
    <x:row r="198" ht="28" customHeight="1">
      <x:c r="A198" s="18" t="str">
        <x:v>owned</x:v>
      </x:c>
      <x:c r="B198" s="18" t="str">
        <x:v>owned_qty editable. Borrowed items can reduce new purchase budget without making material value zero.</x:v>
      </x:c>
      <x:c r="C198" s="18" t="str"/>
    </x:row>
    <x:row r="199" ht="28" customHeight="1">
      <x:c r="A199" s="18" t="str">
        <x:v>PCB 報價範圍</x:v>
      </x:c>
      <x:c r="B199" s="18" t="str">
        <x:v>User quotation including design and setup; per-board allocation is not repeat-production pricing</x:v>
      </x:c>
      <x:c r="C199" s="18" t="str">
        <x:v>原報價 NTD 131250／2 片。</x:v>
      </x:c>
    </x:row>
    <x:row r="200" ht="40" customHeight="1">
      <x:c r="A200" s="18" t="str">
        <x:v>匯率來源紀錄</x:v>
      </x:c>
      <x:c r="B200" s="18" t="str">
        <x:v>31.805 NTD per USD; source date 2026-10-05 15:13; recorded 2026-10-08.
Bank of Taiwan displayed USD spot selling snapshot; comparison and budgeting only</x:v>
      </x:c>
      <x:c r="C200" s="18" t="str">
        <x:v>https://www.bot.com.tw/tw/personal-banking/foreign-exchange</x:v>
      </x:c>
    </x:row>
    <x:row r="201" ht="30" customHeight="1">
      <x:c r="A201" s="25" t="str">
        <x:v>歷史驗證紀錄</x:v>
      </x:c>
      <x:c r="B201" s="25" t="str"/>
      <x:c r="C201" s="25" t="str"/>
    </x:row>
    <x:row r="202" ht="28" customHeight="1">
      <x:c r="A202" s="18" t="str">
        <x:v>範圍</x:v>
      </x:c>
      <x:c r="B202" s="18" t="str">
        <x:v>下列欄位描述此次整併前的既有工作簿。舊雜湊只識別先前版本，不代表已在原生 Excel 執行。</x:v>
      </x:c>
      <x:c r="C202" s="18" t="str"/>
    </x:row>
    <x:row r="203" ht="28" customHeight="1">
      <x:c r="A203" s="18" t="str">
        <x:v>date</x:v>
      </x:c>
      <x:c r="B203" s="18" t="str">
        <x:v>2026-10-08</x:v>
      </x:c>
      <x:c r="C203" s="18" t="str">
        <x:v>先前驗證紀錄。</x:v>
      </x:c>
    </x:row>
    <x:row r="204" ht="28" customHeight="1">
      <x:c r="A204" s="18" t="str">
        <x:v>formula_engine</x:v>
      </x:c>
      <x:c r="B204" s="18" t="str">
        <x:v>artifact-tool</x:v>
      </x:c>
      <x:c r="C204" s="18" t="str">
        <x:v>先前驗證紀錄。</x:v>
      </x:c>
    </x:row>
    <x:row r="205" ht="40" customHeight="1">
      <x:c r="A205" s="18" t="str">
        <x:v>native_Excel_execution_ver
ified</x:v>
      </x:c>
      <x:c r="B205" s="18" t="str">
        <x:v>false</x:v>
      </x:c>
      <x:c r="C205" s="18" t="str">
        <x:v>先前驗證紀錄。</x:v>
      </x:c>
    </x:row>
    <x:row r="206" ht="28" customHeight="1">
      <x:c r="A206" s="18" t="str">
        <x:v>print_count</x:v>
      </x:c>
      <x:c r="B206" s="18" t="str">
        <x:v>8</x:v>
      </x:c>
      <x:c r="C206" s="18" t="str">
        <x:v>先前驗證紀錄。</x:v>
      </x:c>
    </x:row>
    <x:row r="207" ht="28" customHeight="1">
      <x:c r="A207" s="18" t="str">
        <x:v>PCB_rows</x:v>
      </x:c>
      <x:c r="B207" s="18" t="str">
        <x:v>61</x:v>
      </x:c>
      <x:c r="C207" s="18" t="str">
        <x:v>先前驗證紀錄。</x:v>
      </x:c>
    </x:row>
    <x:row r="208" ht="28" customHeight="1">
      <x:c r="A208" s="18" t="str">
        <x:v>purchase_rows</x:v>
      </x:c>
      <x:c r="B208" s="18" t="str">
        <x:v>26</x:v>
      </x:c>
      <x:c r="C208" s="18" t="str">
        <x:v>先前驗證紀錄。</x:v>
      </x:c>
    </x:row>
    <x:row r="209" ht="28" customHeight="1">
      <x:c r="A209" s="18" t="str">
        <x:v>required_rows</x:v>
      </x:c>
      <x:c r="B209" s="18" t="str">
        <x:v>13</x:v>
      </x:c>
      <x:c r="C209" s="18" t="str">
        <x:v>先前驗證紀錄。</x:v>
      </x:c>
    </x:row>
    <x:row r="210" ht="28" customHeight="1">
      <x:c r="A210" s="18" t="str">
        <x:v>developer_rows</x:v>
      </x:c>
      <x:c r="B210" s="18" t="str">
        <x:v>10</x:v>
      </x:c>
      <x:c r="C210" s="18" t="str">
        <x:v>先前驗證紀錄。</x:v>
      </x:c>
    </x:row>
    <x:row r="211" ht="28" customHeight="1">
      <x:c r="A211" s="18" t="str">
        <x:v>future_rows</x:v>
      </x:c>
      <x:c r="B211" s="18" t="str">
        <x:v>3</x:v>
      </x:c>
      <x:c r="C211" s="18" t="str">
        <x:v>先前驗證紀錄。</x:v>
      </x:c>
    </x:row>
    <x:row r="212" ht="28" customHeight="1">
      <x:c r="A212" s="18" t="str">
        <x:v>calculated_print_total_TWD</x:v>
      </x:c>
      <x:c r="B212" s="18" t="str">
        <x:v>1115.3856</x:v>
      </x:c>
      <x:c r="C212" s="18" t="str">
        <x:v>先前驗證紀錄。</x:v>
      </x:c>
    </x:row>
    <x:row r="213" ht="28" customHeight="1">
      <x:c r="A213" s="18" t="str">
        <x:v>known_required_low_TWD</x:v>
      </x:c>
      <x:c r="B213" s="18" t="str">
        <x:v>13133.4052</x:v>
      </x:c>
      <x:c r="C213" s="18" t="str">
        <x:v>先前驗證紀錄。</x:v>
      </x:c>
    </x:row>
    <x:row r="214" ht="28" customHeight="1">
      <x:c r="A214" s="18" t="str">
        <x:v>known_required_high_TWD</x:v>
      </x:c>
      <x:c r="B214" s="18" t="str">
        <x:v>13133.4052</x:v>
      </x:c>
      <x:c r="C214" s="18" t="str">
        <x:v>先前驗證紀錄。</x:v>
      </x:c>
    </x:row>
    <x:row r="215" ht="28" customHeight="1">
      <x:c r="A215" s="18" t="str">
        <x:v>known_nonPCB_low_TWD</x:v>
      </x:c>
      <x:c r="B215" s="18" t="str">
        <x:v>14248.790799999999</x:v>
      </x:c>
      <x:c r="C215" s="18" t="str">
        <x:v>先前驗證紀錄。</x:v>
      </x:c>
    </x:row>
    <x:row r="216" ht="28" customHeight="1">
      <x:c r="A216" s="18" t="str">
        <x:v>known_nonPCB_high_TWD</x:v>
      </x:c>
      <x:c r="B216" s="18" t="str">
        <x:v>14248.790799999999</x:v>
      </x:c>
      <x:c r="C216" s="18" t="str">
        <x:v>先前驗證紀錄。</x:v>
      </x:c>
    </x:row>
    <x:row r="217" ht="28" customHeight="1">
      <x:c r="A217" s="18" t="str">
        <x:v>known_partial_low_TWD</x:v>
      </x:c>
      <x:c r="B217" s="18" t="str">
        <x:v>79873.7908</x:v>
      </x:c>
      <x:c r="C217" s="18" t="str">
        <x:v>先前驗證紀錄。</x:v>
      </x:c>
    </x:row>
    <x:row r="218" ht="28" customHeight="1">
      <x:c r="A218" s="18" t="str">
        <x:v>known_partial_high_TWD</x:v>
      </x:c>
      <x:c r="B218" s="18" t="str">
        <x:v>79873.7908</x:v>
      </x:c>
      <x:c r="C218" s="18" t="str">
        <x:v>先前驗證紀錄。</x:v>
      </x:c>
    </x:row>
    <x:row r="219" ht="28" customHeight="1">
      <x:c r="A219" s="18" t="str">
        <x:v>required_budget_NTD</x:v>
      </x:c>
      <x:c r="B219" s="18" t="str">
        <x:v>79873.7908</x:v>
      </x:c>
      <x:c r="C219" s="18" t="str">
        <x:v>先前驗證紀錄。</x:v>
      </x:c>
    </x:row>
    <x:row r="220" ht="28" customHeight="1">
      <x:c r="A220" s="18" t="str">
        <x:v>required_budget_USD</x:v>
      </x:c>
      <x:c r="B220" s="18" t="str">
        <x:v>2511.359559817639</x:v>
      </x:c>
      <x:c r="C220" s="18" t="str">
        <x:v>先前驗證紀錄。</x:v>
      </x:c>
    </x:row>
    <x:row r="221" ht="28" customHeight="1">
      <x:c r="A221" s="18" t="str">
        <x:v>required_new_packs_NTD</x:v>
      </x:c>
      <x:c r="B221" s="18" t="str">
        <x:v>16300.4507</x:v>
      </x:c>
      <x:c r="C221" s="18" t="str">
        <x:v>先前驗證紀錄。</x:v>
      </x:c>
    </x:row>
    <x:row r="222" ht="28" customHeight="1">
      <x:c r="A222" s="18" t="str">
        <x:v>developer_budget_NTD</x:v>
      </x:c>
      <x:c r="B222" s="18" t="str">
        <x:v>38612.18275</x:v>
      </x:c>
      <x:c r="C222" s="18" t="str">
        <x:v>先前驗證紀錄。</x:v>
      </x:c>
    </x:row>
    <x:row r="223" ht="28" customHeight="1">
      <x:c r="A223" s="18" t="str">
        <x:v>developer_budget_USD</x:v>
      </x:c>
      <x:c r="B223" s="18" t="str">
        <x:v>1214.0286983178746</x:v>
      </x:c>
      <x:c r="C223" s="18" t="str">
        <x:v>先前驗證紀錄。</x:v>
      </x:c>
    </x:row>
    <x:row r="224" ht="28" customHeight="1">
      <x:c r="A224" s="18" t="str">
        <x:v>future_budget_NTD</x:v>
      </x:c>
      <x:c r="B224" s="18" t="str">
        <x:v>7500</x:v>
      </x:c>
      <x:c r="C224" s="18" t="str">
        <x:v>先前驗證紀錄。</x:v>
      </x:c>
    </x:row>
    <x:row r="225" ht="28" customHeight="1">
      <x:c r="A225" s="18" t="str">
        <x:v>complete_cost</x:v>
      </x:c>
      <x:c r="B225" s="18" t="str">
        <x:v>Not order-ready; proxies and allowances included</x:v>
      </x:c>
      <x:c r="C225" s="18" t="str">
        <x:v>先前驗證紀錄。</x:v>
      </x:c>
    </x:row>
    <x:row r="226" ht="40" customHeight="1">
      <x:c r="A226" s="18" t="str">
        <x:v>formula_total_matches_inde
pendent_calculation</x:v>
      </x:c>
      <x:c r="B226" s="18" t="str">
        <x:v>true</x:v>
      </x:c>
      <x:c r="C226" s="18" t="str">
        <x:v>先前驗證紀錄。</x:v>
      </x:c>
    </x:row>
    <x:row r="227" ht="28" customHeight="1">
      <x:c r="A227" s="18" t="str">
        <x:v>blank_vs_zero_test_passed</x:v>
      </x:c>
      <x:c r="B227" s="18" t="str">
        <x:v>true</x:v>
      </x:c>
      <x:c r="C227" s="18" t="str">
        <x:v>先前驗證紀錄。</x:v>
      </x:c>
    </x:row>
    <x:row r="228" ht="28" customHeight="1">
      <x:c r="A228" s="18" t="str">
        <x:v>pack_vs_usage_test_passed</x:v>
      </x:c>
      <x:c r="B228" s="18" t="str">
        <x:v>true</x:v>
      </x:c>
      <x:c r="C228" s="18" t="str">
        <x:v>先前驗證紀錄。</x:v>
      </x:c>
    </x:row>
    <x:row r="229" ht="28" customHeight="1">
      <x:c r="A229" s="18" t="str">
        <x:v>owned_quantity_test_passed</x:v>
      </x:c>
      <x:c r="B229" s="18" t="str">
        <x:v>true</x:v>
      </x:c>
      <x:c r="C229" s="18" t="str">
        <x:v>先前驗證紀錄。</x:v>
      </x:c>
    </x:row>
    <x:row r="230" ht="28" customHeight="1">
      <x:c r="A230" s="18" t="str">
        <x:v>FX_recalculation_passed</x:v>
      </x:c>
      <x:c r="B230" s="18" t="str">
        <x:v>true</x:v>
      </x:c>
      <x:c r="C230" s="18" t="str">
        <x:v>先前驗證紀錄。</x:v>
      </x:c>
    </x:row>
    <x:row r="231" ht="28" customHeight="1">
      <x:c r="A231" s="18" t="str">
        <x:v>zero_FX_rejected</x:v>
      </x:c>
      <x:c r="B231" s="18" t="str">
        <x:v>true</x:v>
      </x:c>
      <x:c r="C231" s="18" t="str">
        <x:v>先前驗證紀錄。</x:v>
      </x:c>
    </x:row>
    <x:row r="232" ht="28" customHeight="1">
      <x:c r="A232" s="18" t="str">
        <x:v>zero_PCB_divisor_rejected</x:v>
      </x:c>
      <x:c r="B232" s="18" t="str">
        <x:v>true</x:v>
      </x:c>
      <x:c r="C232" s="18" t="str">
        <x:v>先前驗證紀錄。</x:v>
      </x:c>
    </x:row>
    <x:row r="233" ht="40" customHeight="1">
      <x:c r="A233" s="18" t="str">
        <x:v>source_total_excluded_from
_costs</x:v>
      </x:c>
      <x:c r="B233" s="18" t="str">
        <x:v>true</x:v>
      </x:c>
      <x:c r="C233" s="18" t="str">
        <x:v>先前驗證紀錄。</x:v>
      </x:c>
    </x:row>
    <x:row r="234" ht="28" customHeight="1">
      <x:c r="A234" s="18" t="str">
        <x:v>public_workbook_updated</x:v>
      </x:c>
      <x:c r="B234" s="18" t="str">
        <x:v>true</x:v>
      </x:c>
      <x:c r="C234" s="18" t="str">
        <x:v>先前驗證紀錄。</x:v>
      </x:c>
    </x:row>
    <x:row r="235" ht="28" customHeight="1">
      <x:c r="A235" s="18" t="str">
        <x:v>public_workbook_sha256</x:v>
      </x:c>
      <x:c r="B235" s="18" t="str">
        <x:v>46de0bf3fb0d699ceeccc2e301d47868e6a5fb8ea916e7a284ff12288f4c707e</x:v>
      </x:c>
      <x:c r="C235" s="18" t="str">
        <x:v>先前驗證紀錄。</x:v>
      </x:c>
    </x:row>
    <x:row r="236" ht="28" customHeight="1">
      <x:c r="A236" s="18" t="str">
        <x:v>staged_workbook_sha256</x:v>
      </x:c>
      <x:c r="B236" s="18" t="str">
        <x:v>46de0bf3fb0d699ceeccc2e301d47868e6a5fb8ea916e7a284ff12288f4c707e</x:v>
      </x:c>
      <x:c r="C236" s="18" t="str">
        <x:v>先前驗證紀錄。</x:v>
      </x:c>
    </x:row>
    <x:row r="237" ht="28" customHeight="1">
      <x:c r="A237" s="18" t="str">
        <x:v>visual_QA_passed</x:v>
      </x:c>
      <x:c r="B237" s="18" t="str">
        <x:v>true</x:v>
      </x:c>
      <x:c r="C237" s="18" t="str">
        <x:v>先前驗證紀錄。</x:v>
      </x:c>
    </x:row>
    <x:row r="238" ht="28" customHeight="1">
      <x:c r="A238" s="18" t="str">
        <x:v>rendered_sheets</x:v>
      </x:c>
      <x:c r="B238" s="18" t="str">
        <x:v>5</x:v>
      </x:c>
      <x:c r="C238" s="18" t="str">
        <x:v>先前驗證紀錄。</x:v>
      </x:c>
    </x:row>
    <x:row r="239" ht="28" customHeight="1">
      <x:c r="A239" s="18" t="str">
        <x:v>rendered_ranges</x:v>
      </x:c>
      <x:c r="B239" s="18" t="str">
        <x:v>37</x:v>
      </x:c>
      <x:c r="C239" s="18" t="str">
        <x:v>先前驗證紀錄。</x:v>
      </x:c>
    </x:row>
    <x:row r="240" ht="40" customHeight="1">
      <x:c r="A240" s="18" t="str">
        <x:v>visual_QA</x:v>
      </x:c>
      <x:c r="B240" s="18" t="str">
        <x:v>All five worksheets and all 37 rendered ranges inspected, including every purchase and PCB row. Formula checks use artifact-tool; native Excel rendering is not claimed.</x:v>
      </x:c>
      <x:c r="C240" s="18" t="str">
        <x:v>先前驗證紀錄。</x:v>
      </x:c>
    </x:row>
  </x:sheetData>
  <x:pageMargins left="0.7" right="0.7" top="0.75" bottom="0.75" header="0.3" footer="0.3"/>
</x:worksheet>
</file>